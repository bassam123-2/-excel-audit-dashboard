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shaikh\Downloads\"/>
    </mc:Choice>
  </mc:AlternateContent>
  <xr:revisionPtr revIDLastSave="253" documentId="13_ncr:1_{D138CA16-BD1E-4635-A4C8-1099BDC1ADFD}" xr6:coauthVersionLast="47" xr6:coauthVersionMax="47" xr10:uidLastSave="{20DCE6B2-960E-475D-80AB-D4281AFE88E7}"/>
  <bookViews>
    <workbookView xWindow="-108" yWindow="-108" windowWidth="23256" windowHeight="12456" firstSheet="2" activeTab="2" xr2:uid="{2136CDCF-5231-4D9A-B29B-3836BE9A594F}"/>
  </bookViews>
  <sheets>
    <sheet name="AAGH-Audit Observations310326" sheetId="3" state="hidden" r:id="rId1"/>
    <sheet name="Sheet1" sheetId="4" r:id="rId2"/>
    <sheet name="BTC-Audit Observations 30062026" sheetId="1" r:id="rId3"/>
  </sheets>
  <definedNames>
    <definedName name="_xlnm._FilterDatabase" localSheetId="0" hidden="1">'AAGH-Audit Observations310326'!$F$1:$F$1</definedName>
    <definedName name="_xlnm._FilterDatabase" localSheetId="2" hidden="1">'BTC-Audit Observations 30062026'!$H$1:$H$1</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19" i="1" l="1"/>
  <c r="P319" i="1"/>
  <c r="Q318" i="1"/>
  <c r="P318" i="1"/>
  <c r="Q317" i="1"/>
  <c r="P317" i="1"/>
  <c r="Q316" i="1"/>
  <c r="P316" i="1"/>
  <c r="Q315" i="1"/>
  <c r="P315" i="1"/>
  <c r="Q314" i="1"/>
  <c r="P314" i="1"/>
  <c r="Q313" i="1"/>
  <c r="P313" i="1"/>
  <c r="Q312" i="1"/>
  <c r="P312" i="1"/>
  <c r="Q311" i="1"/>
  <c r="P311" i="1"/>
  <c r="P310" i="1"/>
  <c r="P320" i="1"/>
  <c r="Q310" i="1"/>
  <c r="Q320" i="1"/>
  <c r="A310" i="1"/>
  <c r="A311" i="1"/>
  <c r="A312" i="1"/>
  <c r="A313" i="1"/>
  <c r="A314" i="1"/>
  <c r="A315" i="1"/>
  <c r="A316" i="1"/>
  <c r="A317" i="1"/>
  <c r="A318" i="1"/>
  <c r="A319" i="1"/>
  <c r="A320" i="1"/>
  <c r="Q309" i="1"/>
  <c r="Q308" i="1"/>
  <c r="Q307" i="1"/>
  <c r="Q306" i="1"/>
  <c r="Q305" i="1"/>
  <c r="Q304" i="1"/>
  <c r="Q303" i="1"/>
  <c r="Q302" i="1"/>
  <c r="Q301" i="1"/>
  <c r="Q300" i="1"/>
  <c r="Q299" i="1"/>
  <c r="Q298" i="1"/>
  <c r="Q297" i="1"/>
  <c r="Q296" i="1"/>
  <c r="Q295" i="1"/>
  <c r="Q294" i="1"/>
  <c r="Q293" i="1"/>
  <c r="Q292"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1" i="1"/>
  <c r="Q130" i="1"/>
  <c r="Q129" i="1"/>
  <c r="Q128" i="1"/>
  <c r="Q127" i="1"/>
  <c r="Q126" i="1"/>
  <c r="Q125" i="1"/>
  <c r="Q124"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P309" i="1"/>
  <c r="P308" i="1"/>
  <c r="P307" i="1"/>
  <c r="P306" i="1"/>
  <c r="P305" i="1"/>
  <c r="P304" i="1"/>
  <c r="P303" i="1"/>
  <c r="P302" i="1"/>
  <c r="P301" i="1"/>
  <c r="P300" i="1"/>
  <c r="P299" i="1"/>
  <c r="P298" i="1"/>
  <c r="P297" i="1"/>
  <c r="P296" i="1"/>
  <c r="P295" i="1"/>
  <c r="P294" i="1"/>
  <c r="P293" i="1"/>
  <c r="P292"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1" i="1"/>
  <c r="P130" i="1"/>
  <c r="P129" i="1"/>
  <c r="P128" i="1"/>
  <c r="P127" i="1"/>
  <c r="P126" i="1"/>
  <c r="P125" i="1"/>
  <c r="P124"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V309" i="1"/>
  <c r="V308" i="1"/>
  <c r="V307" i="1"/>
  <c r="V306" i="1"/>
  <c r="V305" i="1"/>
  <c r="V304" i="1"/>
  <c r="V303" i="1"/>
  <c r="V302" i="1"/>
  <c r="V301" i="1"/>
  <c r="V300" i="1"/>
  <c r="V299" i="1"/>
  <c r="V298" i="1"/>
  <c r="V297" i="1"/>
  <c r="V296" i="1"/>
  <c r="V295" i="1"/>
  <c r="V294" i="1"/>
  <c r="V293" i="1"/>
  <c r="V292" i="1"/>
  <c r="V290" i="1"/>
  <c r="V289" i="1"/>
  <c r="V288" i="1"/>
  <c r="V287" i="1"/>
  <c r="V286" i="1"/>
  <c r="V285" i="1"/>
  <c r="V284" i="1"/>
  <c r="V283" i="1"/>
  <c r="V282" i="1"/>
  <c r="V281" i="1"/>
  <c r="V280" i="1"/>
  <c r="V279" i="1"/>
  <c r="V278" i="1"/>
  <c r="V275" i="1"/>
  <c r="V274"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0" i="1"/>
  <c r="V239" i="1"/>
  <c r="V237" i="1"/>
  <c r="V236" i="1"/>
  <c r="V235" i="1"/>
  <c r="V232" i="1"/>
  <c r="V231" i="1"/>
  <c r="V230" i="1"/>
  <c r="V224" i="1"/>
  <c r="V219" i="1"/>
  <c r="V211" i="1"/>
  <c r="V210" i="1"/>
  <c r="V209" i="1"/>
  <c r="V208" i="1"/>
  <c r="V203" i="1"/>
  <c r="V201" i="1"/>
  <c r="V200" i="1"/>
  <c r="V199" i="1"/>
  <c r="V198" i="1"/>
  <c r="V197" i="1"/>
  <c r="V196" i="1"/>
  <c r="V195" i="1"/>
  <c r="V193" i="1"/>
  <c r="V192" i="1"/>
  <c r="V191" i="1"/>
  <c r="V158" i="1"/>
  <c r="V157" i="1"/>
  <c r="V155" i="1"/>
  <c r="V154" i="1"/>
  <c r="V141" i="1"/>
  <c r="V140" i="1"/>
  <c r="V127" i="1"/>
  <c r="V116" i="1"/>
  <c r="V110" i="1"/>
  <c r="V98" i="1"/>
  <c r="V96" i="1"/>
  <c r="V95" i="1"/>
  <c r="V90" i="1"/>
  <c r="V89" i="1"/>
  <c r="V84" i="1"/>
  <c r="V83" i="1"/>
  <c r="V55" i="1"/>
  <c r="V52" i="1"/>
  <c r="V51" i="1"/>
  <c r="V42"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O178" i="3"/>
  <c r="N178" i="3"/>
  <c r="P178" i="3" s="1"/>
  <c r="A178" i="3"/>
  <c r="O177" i="3"/>
  <c r="N177" i="3"/>
  <c r="P177" i="3" s="1"/>
  <c r="A177" i="3"/>
  <c r="O176" i="3"/>
  <c r="N176" i="3"/>
  <c r="P176" i="3" s="1"/>
  <c r="A176" i="3"/>
  <c r="O175" i="3"/>
  <c r="N175" i="3"/>
  <c r="P175" i="3" s="1"/>
  <c r="A175" i="3"/>
  <c r="O174" i="3"/>
  <c r="N174" i="3"/>
  <c r="P174" i="3" s="1"/>
  <c r="A174" i="3"/>
  <c r="O173" i="3"/>
  <c r="N173" i="3"/>
  <c r="P173" i="3" s="1"/>
  <c r="A173" i="3"/>
  <c r="O172" i="3"/>
  <c r="N172" i="3"/>
  <c r="P172" i="3" s="1"/>
  <c r="A172" i="3"/>
  <c r="O171" i="3"/>
  <c r="N171" i="3"/>
  <c r="P171" i="3" s="1"/>
  <c r="A171" i="3"/>
  <c r="O170" i="3"/>
  <c r="N170" i="3"/>
  <c r="P170" i="3" s="1"/>
  <c r="A170" i="3"/>
  <c r="O169" i="3"/>
  <c r="N169" i="3"/>
  <c r="P169" i="3" s="1"/>
  <c r="A169" i="3"/>
  <c r="O168" i="3"/>
  <c r="N168" i="3"/>
  <c r="P168" i="3" s="1"/>
  <c r="A168" i="3"/>
  <c r="O167" i="3"/>
  <c r="N167" i="3"/>
  <c r="P167" i="3" s="1"/>
  <c r="A167" i="3"/>
  <c r="O166" i="3"/>
  <c r="N166" i="3"/>
  <c r="P166" i="3" s="1"/>
  <c r="A166" i="3"/>
  <c r="O165" i="3"/>
  <c r="N165" i="3"/>
  <c r="P165" i="3" s="1"/>
  <c r="A165" i="3"/>
  <c r="O164" i="3"/>
  <c r="N164" i="3"/>
  <c r="P164" i="3" s="1"/>
  <c r="A164" i="3"/>
  <c r="O163" i="3"/>
  <c r="N163" i="3"/>
  <c r="P163" i="3" s="1"/>
  <c r="A163" i="3"/>
  <c r="O162" i="3"/>
  <c r="N162" i="3"/>
  <c r="P162" i="3" s="1"/>
  <c r="A162" i="3"/>
  <c r="O161" i="3"/>
  <c r="N161" i="3"/>
  <c r="P161" i="3" s="1"/>
  <c r="A161" i="3"/>
  <c r="O160" i="3"/>
  <c r="N160" i="3"/>
  <c r="P160" i="3" s="1"/>
  <c r="A160" i="3"/>
  <c r="O159" i="3"/>
  <c r="N159" i="3"/>
  <c r="P159" i="3" s="1"/>
  <c r="A159" i="3"/>
  <c r="O158" i="3"/>
  <c r="N158" i="3"/>
  <c r="P158" i="3" s="1"/>
  <c r="A158" i="3"/>
  <c r="O157" i="3"/>
  <c r="N157" i="3"/>
  <c r="P157" i="3" s="1"/>
  <c r="A157" i="3"/>
  <c r="O156" i="3"/>
  <c r="N156" i="3"/>
  <c r="P156" i="3" s="1"/>
  <c r="A156" i="3"/>
  <c r="O155" i="3"/>
  <c r="N155" i="3"/>
  <c r="P155" i="3" s="1"/>
  <c r="A155" i="3"/>
  <c r="O154" i="3"/>
  <c r="N154" i="3"/>
  <c r="P154" i="3" s="1"/>
  <c r="A154" i="3"/>
  <c r="O153" i="3"/>
  <c r="N153" i="3"/>
  <c r="P153" i="3" s="1"/>
  <c r="A153" i="3"/>
  <c r="O152" i="3"/>
  <c r="N152" i="3"/>
  <c r="P152" i="3" s="1"/>
  <c r="A152" i="3"/>
  <c r="O151" i="3"/>
  <c r="N151" i="3"/>
  <c r="P151" i="3" s="1"/>
  <c r="A151" i="3"/>
  <c r="O150" i="3"/>
  <c r="N150" i="3"/>
  <c r="P150" i="3" s="1"/>
  <c r="A150" i="3"/>
  <c r="O149" i="3"/>
  <c r="N149" i="3"/>
  <c r="P149" i="3" s="1"/>
  <c r="A149" i="3"/>
  <c r="O148" i="3"/>
  <c r="N148" i="3"/>
  <c r="P148" i="3" s="1"/>
  <c r="A148" i="3"/>
  <c r="O147" i="3"/>
  <c r="N147" i="3"/>
  <c r="P147" i="3" s="1"/>
  <c r="A147" i="3"/>
  <c r="O146" i="3"/>
  <c r="N146" i="3"/>
  <c r="P146" i="3" s="1"/>
  <c r="A146" i="3"/>
  <c r="O145" i="3"/>
  <c r="N145" i="3"/>
  <c r="P145" i="3" s="1"/>
  <c r="A145" i="3"/>
  <c r="O144" i="3"/>
  <c r="N144" i="3"/>
  <c r="P144" i="3" s="1"/>
  <c r="A144" i="3"/>
  <c r="O143" i="3"/>
  <c r="N143" i="3"/>
  <c r="P143" i="3" s="1"/>
  <c r="A143" i="3"/>
  <c r="O142" i="3"/>
  <c r="N142" i="3"/>
  <c r="P142" i="3" s="1"/>
  <c r="A142" i="3"/>
  <c r="O141" i="3"/>
  <c r="N141" i="3"/>
  <c r="P141" i="3" s="1"/>
  <c r="A141" i="3"/>
  <c r="O140" i="3"/>
  <c r="N140" i="3"/>
  <c r="P140" i="3" s="1"/>
  <c r="A140" i="3"/>
  <c r="O139" i="3"/>
  <c r="N139" i="3"/>
  <c r="P139" i="3" s="1"/>
  <c r="A139" i="3"/>
  <c r="O138" i="3"/>
  <c r="N138" i="3"/>
  <c r="P138" i="3" s="1"/>
  <c r="A138" i="3"/>
  <c r="O137" i="3"/>
  <c r="N137" i="3"/>
  <c r="P137" i="3" s="1"/>
  <c r="A137" i="3"/>
  <c r="O136" i="3"/>
  <c r="N136" i="3"/>
  <c r="P136" i="3" s="1"/>
  <c r="A136" i="3"/>
  <c r="O135" i="3"/>
  <c r="N135" i="3"/>
  <c r="P135" i="3" s="1"/>
  <c r="A135" i="3"/>
  <c r="O134" i="3"/>
  <c r="N134" i="3"/>
  <c r="P134" i="3" s="1"/>
  <c r="A134" i="3"/>
  <c r="O133" i="3"/>
  <c r="N133" i="3"/>
  <c r="P133" i="3" s="1"/>
  <c r="A133" i="3"/>
  <c r="O132" i="3"/>
  <c r="N132" i="3"/>
  <c r="P132" i="3" s="1"/>
  <c r="A132" i="3"/>
  <c r="O131" i="3"/>
  <c r="N131" i="3"/>
  <c r="P131" i="3" s="1"/>
  <c r="A131" i="3"/>
  <c r="O130" i="3"/>
  <c r="N130" i="3"/>
  <c r="P130" i="3" s="1"/>
  <c r="A130" i="3"/>
  <c r="O129" i="3"/>
  <c r="N129" i="3"/>
  <c r="P129" i="3" s="1"/>
  <c r="A129" i="3"/>
  <c r="O128" i="3"/>
  <c r="N128" i="3"/>
  <c r="P128" i="3" s="1"/>
  <c r="A128" i="3"/>
  <c r="O127" i="3"/>
  <c r="N127" i="3"/>
  <c r="P127" i="3" s="1"/>
  <c r="A127" i="3"/>
  <c r="O126" i="3"/>
  <c r="N126" i="3"/>
  <c r="P126" i="3" s="1"/>
  <c r="A126" i="3"/>
  <c r="O125" i="3"/>
  <c r="N125" i="3"/>
  <c r="P125" i="3" s="1"/>
  <c r="A125" i="3"/>
  <c r="O124" i="3"/>
  <c r="N124" i="3"/>
  <c r="P124" i="3" s="1"/>
  <c r="A124" i="3"/>
  <c r="O123" i="3"/>
  <c r="N123" i="3"/>
  <c r="P123" i="3" s="1"/>
  <c r="A123" i="3"/>
  <c r="O122" i="3"/>
  <c r="N122" i="3"/>
  <c r="P122" i="3" s="1"/>
  <c r="A122" i="3"/>
  <c r="O121" i="3"/>
  <c r="N121" i="3"/>
  <c r="P121" i="3" s="1"/>
  <c r="A121" i="3"/>
  <c r="O120" i="3"/>
  <c r="N120" i="3"/>
  <c r="P120" i="3" s="1"/>
  <c r="A120" i="3"/>
  <c r="O119" i="3"/>
  <c r="N119" i="3"/>
  <c r="P119" i="3" s="1"/>
  <c r="A119" i="3"/>
  <c r="O118" i="3"/>
  <c r="N118" i="3"/>
  <c r="P118" i="3" s="1"/>
  <c r="A118" i="3"/>
  <c r="O117" i="3"/>
  <c r="N117" i="3"/>
  <c r="P117" i="3" s="1"/>
  <c r="A117" i="3"/>
  <c r="O116" i="3"/>
  <c r="N116" i="3"/>
  <c r="P116" i="3" s="1"/>
  <c r="A116" i="3"/>
  <c r="O115" i="3"/>
  <c r="N115" i="3"/>
  <c r="P115" i="3" s="1"/>
  <c r="A115" i="3"/>
  <c r="O114" i="3"/>
  <c r="N114" i="3"/>
  <c r="P114" i="3" s="1"/>
  <c r="A114" i="3"/>
  <c r="O113" i="3"/>
  <c r="N113" i="3"/>
  <c r="P113" i="3" s="1"/>
  <c r="A113" i="3"/>
  <c r="O112" i="3"/>
  <c r="N112" i="3"/>
  <c r="P112" i="3" s="1"/>
  <c r="A112" i="3"/>
  <c r="O111" i="3"/>
  <c r="N111" i="3"/>
  <c r="P111" i="3" s="1"/>
  <c r="A111" i="3"/>
  <c r="O110" i="3"/>
  <c r="N110" i="3"/>
  <c r="A110" i="3"/>
  <c r="O109" i="3"/>
  <c r="N109" i="3"/>
  <c r="P109" i="3" s="1"/>
  <c r="A109" i="3"/>
  <c r="O108" i="3"/>
  <c r="N108" i="3"/>
  <c r="P108" i="3" s="1"/>
  <c r="A108" i="3"/>
  <c r="O107" i="3"/>
  <c r="N107" i="3"/>
  <c r="P107" i="3" s="1"/>
  <c r="A107" i="3"/>
  <c r="O106" i="3"/>
  <c r="N106" i="3"/>
  <c r="P106" i="3" s="1"/>
  <c r="A106" i="3"/>
  <c r="O105" i="3"/>
  <c r="N105" i="3"/>
  <c r="P105" i="3" s="1"/>
  <c r="A105" i="3"/>
  <c r="O104" i="3"/>
  <c r="N104" i="3"/>
  <c r="P104" i="3" s="1"/>
  <c r="A104" i="3"/>
  <c r="O103" i="3"/>
  <c r="N103" i="3"/>
  <c r="P103" i="3" s="1"/>
  <c r="A103" i="3"/>
  <c r="O102" i="3"/>
  <c r="N102" i="3"/>
  <c r="P102" i="3" s="1"/>
  <c r="A102" i="3"/>
  <c r="O101" i="3"/>
  <c r="N101" i="3"/>
  <c r="P101" i="3" s="1"/>
  <c r="A101" i="3"/>
  <c r="O100" i="3"/>
  <c r="N100" i="3"/>
  <c r="P100" i="3" s="1"/>
  <c r="A100" i="3"/>
  <c r="O99" i="3"/>
  <c r="N99" i="3"/>
  <c r="P99" i="3" s="1"/>
  <c r="A99" i="3"/>
  <c r="O98" i="3"/>
  <c r="N98" i="3"/>
  <c r="P98" i="3" s="1"/>
  <c r="A98" i="3"/>
  <c r="O97" i="3"/>
  <c r="N97" i="3"/>
  <c r="P97" i="3" s="1"/>
  <c r="A97" i="3"/>
  <c r="O96" i="3"/>
  <c r="N96" i="3"/>
  <c r="P96" i="3" s="1"/>
  <c r="A96" i="3"/>
  <c r="O95" i="3"/>
  <c r="N95" i="3"/>
  <c r="P95" i="3" s="1"/>
  <c r="A95" i="3"/>
  <c r="O94" i="3"/>
  <c r="N94" i="3"/>
  <c r="P94" i="3" s="1"/>
  <c r="A94" i="3"/>
  <c r="O93" i="3"/>
  <c r="N93" i="3"/>
  <c r="P93" i="3" s="1"/>
  <c r="A93" i="3"/>
  <c r="O92" i="3"/>
  <c r="N92" i="3"/>
  <c r="P92" i="3" s="1"/>
  <c r="A92" i="3"/>
  <c r="O91" i="3"/>
  <c r="N91" i="3"/>
  <c r="P91" i="3" s="1"/>
  <c r="A91" i="3"/>
  <c r="O90" i="3"/>
  <c r="N90" i="3"/>
  <c r="P90" i="3" s="1"/>
  <c r="A90" i="3"/>
  <c r="O89" i="3"/>
  <c r="N89" i="3"/>
  <c r="P89" i="3" s="1"/>
  <c r="A89" i="3"/>
  <c r="O88" i="3"/>
  <c r="N88" i="3"/>
  <c r="P88" i="3" s="1"/>
  <c r="A88" i="3"/>
  <c r="O87" i="3"/>
  <c r="N87" i="3"/>
  <c r="P87" i="3" s="1"/>
  <c r="A87" i="3"/>
  <c r="O86" i="3"/>
  <c r="N86" i="3"/>
  <c r="P86" i="3" s="1"/>
  <c r="A86" i="3"/>
  <c r="O85" i="3"/>
  <c r="N85" i="3"/>
  <c r="P85" i="3" s="1"/>
  <c r="A85" i="3"/>
  <c r="O84" i="3"/>
  <c r="N84" i="3"/>
  <c r="P84" i="3" s="1"/>
  <c r="A84" i="3"/>
  <c r="O83" i="3"/>
  <c r="N83" i="3"/>
  <c r="P83" i="3" s="1"/>
  <c r="A83" i="3"/>
  <c r="O82" i="3"/>
  <c r="N82" i="3"/>
  <c r="P82" i="3" s="1"/>
  <c r="A82" i="3"/>
  <c r="O81" i="3"/>
  <c r="N81" i="3"/>
  <c r="P81" i="3" s="1"/>
  <c r="A81" i="3"/>
  <c r="O80" i="3"/>
  <c r="N80" i="3"/>
  <c r="P80" i="3" s="1"/>
  <c r="A80" i="3"/>
  <c r="O79" i="3"/>
  <c r="N79" i="3"/>
  <c r="P79" i="3" s="1"/>
  <c r="A79" i="3"/>
  <c r="O78" i="3"/>
  <c r="N78" i="3"/>
  <c r="P78" i="3" s="1"/>
  <c r="A78" i="3"/>
  <c r="O77" i="3"/>
  <c r="N77" i="3"/>
  <c r="P77" i="3" s="1"/>
  <c r="A77" i="3"/>
  <c r="O76" i="3"/>
  <c r="N76" i="3"/>
  <c r="P76" i="3" s="1"/>
  <c r="A76" i="3"/>
  <c r="O75" i="3"/>
  <c r="N75" i="3"/>
  <c r="P75" i="3" s="1"/>
  <c r="A75" i="3"/>
  <c r="O74" i="3"/>
  <c r="N74" i="3"/>
  <c r="P74" i="3" s="1"/>
  <c r="A74" i="3"/>
  <c r="O73" i="3"/>
  <c r="N73" i="3"/>
  <c r="P73" i="3" s="1"/>
  <c r="A73" i="3"/>
  <c r="O72" i="3"/>
  <c r="N72" i="3"/>
  <c r="P72" i="3" s="1"/>
  <c r="A72" i="3"/>
  <c r="O71" i="3"/>
  <c r="N71" i="3"/>
  <c r="P71" i="3" s="1"/>
  <c r="A71" i="3"/>
  <c r="O70" i="3"/>
  <c r="N70" i="3"/>
  <c r="P70" i="3" s="1"/>
  <c r="A70" i="3"/>
  <c r="O69" i="3"/>
  <c r="N69" i="3"/>
  <c r="P69" i="3" s="1"/>
  <c r="A69" i="3"/>
  <c r="O68" i="3"/>
  <c r="N68" i="3"/>
  <c r="P68" i="3" s="1"/>
  <c r="A68" i="3"/>
  <c r="O67" i="3"/>
  <c r="N67" i="3"/>
  <c r="P67" i="3" s="1"/>
  <c r="A67" i="3"/>
  <c r="O66" i="3"/>
  <c r="N66" i="3"/>
  <c r="P66" i="3" s="1"/>
  <c r="A66" i="3"/>
  <c r="O65" i="3"/>
  <c r="N65" i="3"/>
  <c r="P65" i="3" s="1"/>
  <c r="A65" i="3"/>
  <c r="O64" i="3"/>
  <c r="N64" i="3"/>
  <c r="P64" i="3" s="1"/>
  <c r="A64" i="3"/>
  <c r="O63" i="3"/>
  <c r="N63" i="3"/>
  <c r="P63" i="3" s="1"/>
  <c r="A63" i="3"/>
  <c r="O62" i="3"/>
  <c r="N62" i="3"/>
  <c r="P62" i="3" s="1"/>
  <c r="A62" i="3"/>
  <c r="O61" i="3"/>
  <c r="N61" i="3"/>
  <c r="P61" i="3" s="1"/>
  <c r="A61" i="3"/>
  <c r="O60" i="3"/>
  <c r="N60" i="3"/>
  <c r="P60" i="3" s="1"/>
  <c r="A60" i="3"/>
  <c r="O59" i="3"/>
  <c r="N59" i="3"/>
  <c r="P59" i="3" s="1"/>
  <c r="A59" i="3"/>
  <c r="O58" i="3"/>
  <c r="N58" i="3"/>
  <c r="P58" i="3" s="1"/>
  <c r="A58" i="3"/>
  <c r="O57" i="3"/>
  <c r="N57" i="3"/>
  <c r="P57" i="3" s="1"/>
  <c r="A57" i="3"/>
  <c r="O56" i="3"/>
  <c r="N56" i="3"/>
  <c r="P56" i="3" s="1"/>
  <c r="A56" i="3"/>
  <c r="O55" i="3"/>
  <c r="N55" i="3"/>
  <c r="P55" i="3" s="1"/>
  <c r="A55" i="3"/>
  <c r="O54" i="3"/>
  <c r="N54" i="3"/>
  <c r="P54" i="3" s="1"/>
  <c r="A54" i="3"/>
  <c r="O53" i="3"/>
  <c r="N53" i="3"/>
  <c r="P53" i="3" s="1"/>
  <c r="A53" i="3"/>
  <c r="O52" i="3"/>
  <c r="N52" i="3"/>
  <c r="P52" i="3" s="1"/>
  <c r="A52" i="3"/>
  <c r="O51" i="3"/>
  <c r="N51" i="3"/>
  <c r="P51" i="3" s="1"/>
  <c r="A51" i="3"/>
  <c r="O50" i="3"/>
  <c r="N50" i="3"/>
  <c r="P50" i="3" s="1"/>
  <c r="A50" i="3"/>
  <c r="O49" i="3"/>
  <c r="N49" i="3"/>
  <c r="P49" i="3" s="1"/>
  <c r="A49" i="3"/>
  <c r="O48" i="3"/>
  <c r="N48" i="3"/>
  <c r="P48" i="3" s="1"/>
  <c r="A48" i="3"/>
  <c r="O47" i="3"/>
  <c r="N47" i="3"/>
  <c r="P47" i="3" s="1"/>
  <c r="A47" i="3"/>
  <c r="O46" i="3"/>
  <c r="N46" i="3"/>
  <c r="P46" i="3" s="1"/>
  <c r="A46" i="3"/>
  <c r="O45" i="3"/>
  <c r="N45" i="3"/>
  <c r="P45" i="3" s="1"/>
  <c r="A45" i="3"/>
  <c r="O44" i="3"/>
  <c r="N44" i="3"/>
  <c r="P44" i="3" s="1"/>
  <c r="A44" i="3"/>
  <c r="O43" i="3"/>
  <c r="N43" i="3"/>
  <c r="P43" i="3" s="1"/>
  <c r="A43" i="3"/>
  <c r="O42" i="3"/>
  <c r="N42" i="3"/>
  <c r="P42" i="3" s="1"/>
  <c r="A42" i="3"/>
  <c r="O41" i="3"/>
  <c r="N41" i="3"/>
  <c r="P41" i="3" s="1"/>
  <c r="A41" i="3"/>
  <c r="O40" i="3"/>
  <c r="N40" i="3"/>
  <c r="P40" i="3" s="1"/>
  <c r="A40" i="3"/>
  <c r="O39" i="3"/>
  <c r="N39" i="3"/>
  <c r="P39" i="3" s="1"/>
  <c r="A39" i="3"/>
  <c r="O38" i="3"/>
  <c r="N38" i="3"/>
  <c r="P38" i="3" s="1"/>
  <c r="A38" i="3"/>
  <c r="O37" i="3"/>
  <c r="N37" i="3"/>
  <c r="P37" i="3" s="1"/>
  <c r="A37" i="3"/>
  <c r="O36" i="3"/>
  <c r="N36" i="3"/>
  <c r="P36" i="3" s="1"/>
  <c r="A36" i="3"/>
  <c r="R35" i="3"/>
  <c r="O35" i="3"/>
  <c r="N35" i="3"/>
  <c r="P35" i="3" s="1"/>
  <c r="A35" i="3"/>
  <c r="O34" i="3"/>
  <c r="N34" i="3"/>
  <c r="P34" i="3" s="1"/>
  <c r="A34" i="3"/>
  <c r="O33" i="3"/>
  <c r="N33" i="3"/>
  <c r="P33" i="3" s="1"/>
  <c r="A33" i="3"/>
  <c r="O32" i="3"/>
  <c r="N32" i="3"/>
  <c r="P32" i="3" s="1"/>
  <c r="A32" i="3"/>
  <c r="O31" i="3"/>
  <c r="N31" i="3"/>
  <c r="P31" i="3" s="1"/>
  <c r="A31" i="3"/>
  <c r="O30" i="3"/>
  <c r="N30" i="3"/>
  <c r="P30" i="3" s="1"/>
  <c r="A30" i="3"/>
  <c r="O29" i="3"/>
  <c r="N29" i="3"/>
  <c r="P29" i="3" s="1"/>
  <c r="A29" i="3"/>
  <c r="O28" i="3"/>
  <c r="N28" i="3"/>
  <c r="P28" i="3" s="1"/>
  <c r="A28" i="3"/>
  <c r="O27" i="3"/>
  <c r="N27" i="3"/>
  <c r="P27" i="3" s="1"/>
  <c r="A27" i="3"/>
  <c r="O26" i="3"/>
  <c r="N26" i="3"/>
  <c r="P26" i="3" s="1"/>
  <c r="A26" i="3"/>
  <c r="O25" i="3"/>
  <c r="N25" i="3"/>
  <c r="P25" i="3" s="1"/>
  <c r="A25" i="3"/>
  <c r="O24" i="3"/>
  <c r="N24" i="3"/>
  <c r="P24" i="3" s="1"/>
  <c r="A24" i="3"/>
  <c r="O23" i="3"/>
  <c r="N23" i="3"/>
  <c r="P23" i="3" s="1"/>
  <c r="A23" i="3"/>
  <c r="O22" i="3"/>
  <c r="N22" i="3"/>
  <c r="P22" i="3" s="1"/>
  <c r="A22" i="3"/>
  <c r="O21" i="3"/>
  <c r="N21" i="3"/>
  <c r="P21" i="3" s="1"/>
  <c r="A21" i="3"/>
  <c r="O20" i="3"/>
  <c r="N20" i="3"/>
  <c r="P20" i="3" s="1"/>
  <c r="A20" i="3"/>
  <c r="O19" i="3"/>
  <c r="N19" i="3"/>
  <c r="P19" i="3" s="1"/>
  <c r="A19" i="3"/>
  <c r="O18" i="3"/>
  <c r="N18" i="3"/>
  <c r="P18" i="3" s="1"/>
  <c r="A18" i="3"/>
  <c r="O17" i="3"/>
  <c r="N17" i="3"/>
  <c r="P17" i="3" s="1"/>
  <c r="A17" i="3"/>
  <c r="O16" i="3"/>
  <c r="N16" i="3"/>
  <c r="P16" i="3" s="1"/>
  <c r="A16" i="3"/>
  <c r="O15" i="3"/>
  <c r="N15" i="3"/>
  <c r="P15" i="3" s="1"/>
  <c r="A15" i="3"/>
  <c r="O14" i="3"/>
  <c r="N14" i="3"/>
  <c r="P14" i="3" s="1"/>
  <c r="A14" i="3"/>
  <c r="O13" i="3"/>
  <c r="N13" i="3"/>
  <c r="P13" i="3" s="1"/>
  <c r="A13" i="3"/>
  <c r="O12" i="3"/>
  <c r="N12" i="3"/>
  <c r="P12" i="3" s="1"/>
  <c r="A12" i="3"/>
  <c r="O11" i="3"/>
  <c r="N11" i="3"/>
  <c r="P11" i="3" s="1"/>
  <c r="A11" i="3"/>
  <c r="O10" i="3"/>
  <c r="N10" i="3"/>
  <c r="P10" i="3" s="1"/>
  <c r="A10" i="3"/>
  <c r="O9" i="3"/>
  <c r="N9" i="3"/>
  <c r="P9" i="3" s="1"/>
  <c r="A9" i="3"/>
  <c r="O8" i="3"/>
  <c r="N8" i="3"/>
  <c r="P8" i="3" s="1"/>
  <c r="A8" i="3"/>
  <c r="O7" i="3"/>
  <c r="N7" i="3"/>
  <c r="P7" i="3" s="1"/>
  <c r="A7" i="3"/>
  <c r="O6" i="3"/>
  <c r="N6" i="3"/>
  <c r="P6" i="3" s="1"/>
  <c r="A6" i="3"/>
  <c r="O5" i="3"/>
  <c r="N5" i="3"/>
  <c r="P5" i="3" s="1"/>
  <c r="A5" i="3"/>
  <c r="O4" i="3"/>
  <c r="N4" i="3"/>
  <c r="P4" i="3" s="1"/>
  <c r="A4" i="3"/>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P110" i="3" l="1"/>
</calcChain>
</file>

<file path=xl/sharedStrings.xml><?xml version="1.0" encoding="utf-8"?>
<sst xmlns="http://schemas.openxmlformats.org/spreadsheetml/2006/main" count="6234" uniqueCount="1958">
  <si>
    <t>Internal Audit Department (IAD)</t>
  </si>
  <si>
    <t>Audit Observations Following Up Status Report</t>
  </si>
  <si>
    <t>Aging since initial Implementation date</t>
  </si>
  <si>
    <t>S.N</t>
  </si>
  <si>
    <t>Company</t>
  </si>
  <si>
    <t>Audit Year</t>
  </si>
  <si>
    <t>Department</t>
  </si>
  <si>
    <t>Audit Cycle/ Department</t>
  </si>
  <si>
    <t>Observation Name</t>
  </si>
  <si>
    <t>Summary of Observation</t>
  </si>
  <si>
    <t>Recommendations</t>
  </si>
  <si>
    <t>Rating</t>
  </si>
  <si>
    <t>Observation type</t>
  </si>
  <si>
    <t>Action Owner</t>
  </si>
  <si>
    <t>Implementation Due Date</t>
  </si>
  <si>
    <t>Revised Date (31/03/2026)</t>
  </si>
  <si>
    <t>IA Status</t>
  </si>
  <si>
    <t>Aging for Open Due</t>
  </si>
  <si>
    <t>Management Responses</t>
  </si>
  <si>
    <t>AAGH</t>
  </si>
  <si>
    <t xml:space="preserve">Treasury Department </t>
  </si>
  <si>
    <t>Treasury Audit</t>
  </si>
  <si>
    <t xml:space="preserve">Absence of treasury strategy and comprehensive business plan </t>
  </si>
  <si>
    <t xml:space="preserve">A strategy and comprehensive business plan is not available which should be aligned with the corporate business objectives, internal and external environment.
Strategic Business Plan should be approved by those charged with governance of the organization i.e. Board of Directors and should have, such as, but not limited to:
- Core values, vision, mission of company
- Goals and objectives of company
- SWOT analysis of company
- Options analysis/evaluation
- Scenario analysis/sensitivity analysis
- Critical Success Factors (CSFs)
- Key Performance Indicators (KPIs) for efficient monitoring of implementation of strategy, etc.
</t>
  </si>
  <si>
    <t xml:space="preserve">• A comprehensive Strategic Business Plan should be developed and required approval should be obtained as per DOAs.
• Develop a mechanism to monitor and track the implementation of strategy and Business Plan achievements.
</t>
  </si>
  <si>
    <t>Critical</t>
  </si>
  <si>
    <t>Policies &amp; Procedures</t>
  </si>
  <si>
    <t>Treasury Head / CFO</t>
  </si>
  <si>
    <t>Treasury strategy and comprehensive business plan has been addressed in the Treasury Policy and procedures that it is already submitted for Board approval.</t>
  </si>
  <si>
    <t>Outdated treasury policies and procedures</t>
  </si>
  <si>
    <t xml:space="preserve">Updated and approved policies and procedures covering all sub-processes relating to Treasury are not in place.
For effective and efficient treasury and working capital management, complete set of policies in line with the overall business strategy should be documented and approved in line with approved DoAs. Such policies may include (but are not limited to) areas such as:
- Governance &amp; reporting policy
- Bank &amp; relations management
- Cash flow planning 
- Working Capital management
- Liquidity policy
- Inter-Bank Transfer procedures
- Loans &amp; facilities management, etc.
The policies and procedures should be reviewed periodically. All policy changes should be disseminated throughout the company to responsible personnel to ensure efficient and effective implementation.
</t>
  </si>
  <si>
    <t>Comprehensive policies and procedures manuals should be developed, approved, implemented and updated on periodic basis.</t>
  </si>
  <si>
    <t xml:space="preserve">CFO </t>
  </si>
  <si>
    <t>Treasury Policy and procedures is already submitted for Board approval.</t>
  </si>
  <si>
    <t>Absence of delegation of authority (DoA) matrix</t>
  </si>
  <si>
    <t xml:space="preserve">Non-existence of an authorization matrix which details the levels of authority and delegation of responsibilities for governing day-to-day activities such as:
- Short term loans
- Long term loans
- Financial Facility approvals
- Negotiation of facilities
- Rescheduling of loans
- Bank accounts amendment, etc.
</t>
  </si>
  <si>
    <t xml:space="preserve">• Comprehensive Delegation of Authority (DoA) Matrix mapping roles &amp; responsibilities should be developed and obtain relevant approvals. 
• Approved DOA should be circulated on ‘need to know basis’ and mechanism for periodic reviewe and update on a periodic basis.
• Mechanism to govern and monitor the DOA adherence
</t>
  </si>
  <si>
    <t>Authority Matrix</t>
  </si>
  <si>
    <t>Unavailability of defined service level agreements</t>
  </si>
  <si>
    <t xml:space="preserve">In order to develop strong, clear relationships and to introduce greater accountability for performance of the treasury function, Service Level Agreements (SLAs) must exist between Group Treasury and the subsidiaries/business units.
However, based on our review, no Service Level Agreements between Group Treasury and the subsidiaries / business units exists.
The SLA should include not only a description of the services to be provided by Group Treasury and their expected service levels, but also metrics by which the services will be  measured duties and responsibilities of each party, remedies or penalties in case of non-observance, and a protocol for adding and removing metrics.
</t>
  </si>
  <si>
    <t xml:space="preserve">• SLA matrix mapped with business impact and severity should be developed that governs activity within group holding and across subsidiaries
• Escalation matrix for non-adherence to SLA should be incorporated within SLA. 
• Document should be approved as per DOA and circulated to all relevant stakeholders
</t>
  </si>
  <si>
    <t>Group CFO &amp; Subsidiaries CFOs</t>
  </si>
  <si>
    <t>Job description &amp; departmental structure are not approved</t>
  </si>
  <si>
    <t xml:space="preserve">Organization structure and Job Descriptions of Treasury Department have not been approved.  </t>
  </si>
  <si>
    <t>Departmental Structure and Job Descriptions should be approved as per DoAs</t>
  </si>
  <si>
    <t>Org. structure JD &amp; KPI's</t>
  </si>
  <si>
    <t>Treasury Head / HR</t>
  </si>
  <si>
    <t>Lack of KPIs defined, implemented and monitored</t>
  </si>
  <si>
    <t xml:space="preserve">Key Performance Indicators (KPIs) for the Treasury Department have not been established, communicated and monitored in order to ensure efficient and effective treasury and working capital management. 
KPIs may include but not limited:
- Number of adjusting entries
- Processing time for payments and receipts (funds management)
- Percentage of invoices paid in time (funds management)
- Number of bank accounts maintained
- Amount of bank charges/fines resulting from late repayment of loans
- Number of complaints lodged by customers/vendors related to receipts/payments, etc.
Performance measurement reports should be shared with Senior Management as part of the monthly treasury reporting.
</t>
  </si>
  <si>
    <t xml:space="preserve">• Role based KPIs to be developed and incorporated within Job Descriptions that are duly communicated
• Performance monitoring mechanism to be formalized
</t>
  </si>
  <si>
    <t>High</t>
  </si>
  <si>
    <t>Addressed in Treasury Policy and Procedures that is already submitted for Board approval.</t>
  </si>
  <si>
    <t>Absence of comprehensive forecasted cashflow</t>
  </si>
  <si>
    <t xml:space="preserve">- Forecasted cashflow assumptions have not been documented e.g., credit period of the suppliers, credit period of customers, inflation rates, etc.
- Variance analysis for cashflow forecasts is performed in terms of numbers only and reasons for variances are not properly documented and reviewed.
- No cashflow forecast is available with Treasury for the whole year 2021
- Cashflow forecast provided for the Quarter 1, 2021 was company-wise and not consolidated for the Group
- Supporting calculations/breakup for the funds inflows/outflows amounts are not available.
- Absence of automated process to prepare Cash flow forecast.
</t>
  </si>
  <si>
    <t xml:space="preserve">• Complete and consolidated cashflow forecasts should be prepared for the Group
• All the assumptions with clear linkage should be documented and revised on the basis of internal and external factors.
• Reasons for variances between actual and forecasted cashflows should be adequately documented and reviewed to improve the forecasting and control.
• Company should explore the options to use comprehensive analytical tools for forecast preparation by automation of the cashflow forecast preparation process.
</t>
  </si>
  <si>
    <t>Operation</t>
  </si>
  <si>
    <t>Absence of criteria for selection of loan and comparative analysis</t>
  </si>
  <si>
    <t xml:space="preserve">The criteria for selection of a loan/facility and comparative analysis (for rates, terms, service, charges, etc.,) before obtaining loans from a specific bank are not available. </t>
  </si>
  <si>
    <t xml:space="preserve">• Management should have a written and approved criterion for evaluation of loans/facilities at inception.
• Comparative analysis should be performed before obtaining loans and approved as per DoA Matrix. Terms and conditions should be compared within different banks and banks offering most suited terms and conditions should be selected.
</t>
  </si>
  <si>
    <t>Updated list of bank accounts not available</t>
  </si>
  <si>
    <t>Maintaining and monitoring a list of all the bank accounts of the company is important for control purposes and to mitigate the risks of any unauthorized transactions. 
During the course of audit, we requested a total list of active bank accounts maintained by the Treasury Department. Upon performing some additional audit procedures, we found that 2 bank accounts included in the list were already closed. Also, there are a total of 4 bank accounts which the management intends to close. 
Moreover, while reviewing the bank signatory authorization documents, we identified 5 bank accounts which were not included in the list of bank accounts shared with us.</t>
  </si>
  <si>
    <t>• Treasury Department should maintain an updated list of bank accounts along with complete documentation. The list of bank accounts should be reviewed periodically for validity and need.</t>
  </si>
  <si>
    <t>Inappropriate monitoring over actual bank accounts &amp; general ledger accounts</t>
  </si>
  <si>
    <t xml:space="preserve">Comparing the list of bank accounts shared by the management with the number of General Ledger (GL) accounts opened for banks. Following are the differences identified:
-Abdullatif Alissa Group Holding Co.: Following two bank accounts have been closed but not closed in General Ledger: JAZ 0009-302889-001 &amp; ANB 1160-1255108-00  SR
-Best Trading Co:Following bank account has been closed but not closed in General Ledger:
AlBilad A/c5551XXXX2220007
-Alissa Universal Co.:Duplicate account opened in General Ledger for the following bank account:
RY-218083XXXX901 SR/AUM
</t>
  </si>
  <si>
    <t xml:space="preserve">A periodic review of the Chart of Accounts that involves:
• Finance Manager to identify anomalies like but not limited to redundant GL accounts.
• Review and approve the changes to chart of accounts as per DoA Matrix.
</t>
  </si>
  <si>
    <t>Inadequate documentation related to bank accounts requisitions</t>
  </si>
  <si>
    <t xml:space="preserve">•No standard Requisition / Requirement Analysis document is generated for Bank Account Opening. Request for opening a new bank account is raised by the Finance Department &amp; Chief Executive Officer/General Manager of the subsidiary through an email to Group CFO. Standard Requisition / Requirement Analysis document should be generated and approved as per approved DoAs.
• Moreover, there is no documentary evidence / process that different banks were evaluated against each other at the time of bank account opening. </t>
  </si>
  <si>
    <t xml:space="preserve">• Standard Requisition / Requirement Analysis document should be designed for bank account opening purposes.
• Comparative analysis should be done and documented in a standardized format at the time of bank account opening.
</t>
  </si>
  <si>
    <t>Agreements with the banks are not vetted by legal department</t>
  </si>
  <si>
    <t>The agreements with banks related to financing are not vetted by the Legal Department. All terms and conditions of the contract including covenants/charges should be reviewed by the Legal Department to ensure that the interests of the Group are adequately safeguarded.</t>
  </si>
  <si>
    <t>Agreements with banks should be vetted by Legal Advisor/Legal Department before signing agreement.</t>
  </si>
  <si>
    <t>System functionality is not being used to record, monitor and analyze the debts/loans</t>
  </si>
  <si>
    <t xml:space="preserve">The system functionality is not being used to raise finance requests, finalizing the debt, recording details &amp; terms and monitoring the repayment dates.
Currently, all data is being maintained in Excel worksheets and the Treasury module is not in use. There is no system mechanism (such as an alert) in place to monitor the due dates of loan repayments.
</t>
  </si>
  <si>
    <t>System functionality should be used to record, monitor and analyze the debts, loans and other financing facilities.</t>
  </si>
  <si>
    <t>ERP system</t>
  </si>
  <si>
    <t>Treasury Head /IT Head</t>
  </si>
  <si>
    <t>Inadequate controls over cheque books issuance</t>
  </si>
  <si>
    <t xml:space="preserve">•A Standard Form for requisitioning of Cheque book does not exist, that should include following fields:
- Bank account number
- Bank account title
- Requisition slip number
- Cheques in hand
- Expected usage of cheques
- Expected lead time of cheque book delivery by bank 
- Detail of cheque book issued by the bank etc.
• Number of cheque books to be requisitioned are not based on the expected number of transactions, time taken by bank for issuance of cheque book and expected frequency of transactions. Cheque book requisition form (developed internally) should show the basis on which number of cheque books are requisitioned.
• Minimum level for requisitioning of cheque books has not been defined.
</t>
  </si>
  <si>
    <t>A Standard Form for requisitioning of Cheque book should be developed and approved by relevant authority</t>
  </si>
  <si>
    <t>Medium</t>
  </si>
  <si>
    <t xml:space="preserve">Treasury Head </t>
  </si>
  <si>
    <t>HR</t>
  </si>
  <si>
    <t>Hire to Retire / HR</t>
  </si>
  <si>
    <t>Absence / Outdated of HR policy and procedure</t>
  </si>
  <si>
    <t xml:space="preserve">
 IA noted that AAGH group company currently does not have updated HR policy and procedures. We also noted that company has outdated HR policy and procedure that was last approved in FY 2007.
Furthermore, major areas of policy that is outdated such as but not limited to;
•	Manpower Planning ,Manpower budget preparation and monitoring process in place.
•	Recruitment, Learning &amp; Development
•	Payroll, HR-Operations - Working hours, attendance and leave
•	Talent management, Resignation/termination
•	Performance appraisals, Business continuity / Succession.
•	employee grievance, Rewards &amp; recognition
•	Career planning, Performance appraisal
•	On boarding detailed presentation not in place for AAGH introduction and policies and procedures
•	Non-adherence to Notice period by employee, Anti-harassment policy
In addition, IA identified following major procedural and practice gaps:
•	Absence of Recruitment planning and campus recruitments (if any)
•	Clear and approved manpower planning is not available.
•	There is no mechanism to verify employee documents especially validating academic records.
•	Absence of formal on boarding process with includes Initial training has given to a new employee in probation period to introduce the culture, strategy, policy &amp; procedure, code of ethics of the company. 
•	Absence of formal Employee screening process and Employee selection procedures
•	There is no procedure for termination of contract employees
•	Absence of  procedure for waiver of notice period .</t>
  </si>
  <si>
    <t>•	Management should develop/update the policy and procedures addressing the above identified gaps and get it approved accordingly. 
•	HR department should ensure comprehensiveness of employment contract as per labor law.</t>
  </si>
  <si>
    <t>HR Director</t>
  </si>
  <si>
    <t xml:space="preserve">Absence of succession planning </t>
  </si>
  <si>
    <t>During review IA discovered that currently there is no policy developed by HR department that governs succession planning to ensure seamless continuity of leadership in case of resource churn.</t>
  </si>
  <si>
    <t>Recommendation(s):
•	The management should develop a detailed comprehensive succession plan for the appointments of senior management of the company, and to ensure their implementation in order to achieve smooth and orderly work of the company without any interruption or disturbance. 
•	The succession plan should address, at minimum, the following: 
a.	The key positions and functions to be covered. 
b.	The timeliness of coverage during the transition period. 
c.	The positions and time period that could temporarily cover for the vacant positions. 
d.	Skills and qualifications required for each position.</t>
  </si>
  <si>
    <t>Absence of an employee grievance redress system</t>
  </si>
  <si>
    <t>During our review of HR operations, we noted that currently there is no formal grievance redress system for employees is developed and implemented.
Furthermore, Absence of formal channels to support the employees to submission his / her complaints for processing grievance.</t>
  </si>
  <si>
    <t xml:space="preserve">Management should establish the grievance redress system for employees and apply it accordingly. </t>
  </si>
  <si>
    <t>Absence of code of conduct</t>
  </si>
  <si>
    <t>During  review IA revealed that the company does not have an approved and signed code of conduct policy.</t>
  </si>
  <si>
    <t>.Management should develop and approved Code of conduct policy and circulated to all employees.
.Code of Conduct policy should be signed by AAGH existing employees and as joining / onboarding process for new employees.
.Mechanism to review on periodic basis and sign off by all employees periodically (at least annually) to be implemented.</t>
  </si>
  <si>
    <t xml:space="preserve">Absence of approved governance for performance of staff and disciplinary actions. </t>
  </si>
  <si>
    <t>During review we noted the followings relating to disciplinary actions:
1.	There is no approved policies and procedures for disciplinary actions taken against employees in case of any misconduct.
2.	There is no monitoring mechanism in place for follow ups and tracking of disciplinary actions taken. 
3.	Mechanism to monitor and evaluate performance of employee
4.	Procedure for handling low performing staff
5.	Absence of centralized repository of warning letters issued to employees at project sites/divisions, head offices and regional offices.</t>
  </si>
  <si>
    <t xml:space="preserve">.Management should develop and implement a comprehensive policy for disciplinary actions and monitoring mechanism for the tracking of disciplinary actions and their follow ups.
.Management should develop and implement performance monitoring system for all employees  </t>
  </si>
  <si>
    <t>Absence of Delegation of Authority Matrix.</t>
  </si>
  <si>
    <t>During our review IA noted the absence of approved Authority Matrix for governing day to day operations of the company.</t>
  </si>
  <si>
    <t>HR department should develop and circulate approved authority matrix to relevant employees for implementation accordingly.</t>
  </si>
  <si>
    <t>Absence of Employee background verification</t>
  </si>
  <si>
    <t>During our review IA noted that HR department is not performing  and formally documenting employee background verification checks for the new hires</t>
  </si>
  <si>
    <t xml:space="preserve">•Management shall conduct a formal Background verification process of the employee before hiring candidates for critical positions and document it accordingly.
•Management shall at least verify through this process the Candidate's basic details, professional qualifications, educational certificates, work experience, and ethical and criminal background. </t>
  </si>
  <si>
    <t xml:space="preserve">Absence of employees training and continuous professional development program.  </t>
  </si>
  <si>
    <t xml:space="preserve">1.	company does not have a structured process for employee skill development and specialized trainings relating to his domain. 
2.	company does not have training programs to enhance risk culture and employee’s awareness such as but not limited to Code of conduct, Internal Controls, Fraud management, Regulatory requirements, etc. 
Furthermore, there is no documentation and tracking of trainings that an employee has taken and provided by company. </t>
  </si>
  <si>
    <t>Management of HR team should ensure;
•	ensure to develop a comprehensive training program for employees.
•	assess and communicate training needs
	Training calendar is reviewed by the Departmental Heads and approved by the senior management and Training Budgets are prepared based on the annual training calendar"</t>
  </si>
  <si>
    <t>تم تحليل الموظفين من خلال طرف خارجي وعمل خطة تطوير فردية لكل موظف وإدراج بند للتطوير والتدريب ضمن الموازنة، وتم التواصل مع المعاهد التدريبية لتحديد البرامج الملائمة وسيتم تنفيذ ذلك خلال العام التاريخ الجديد 31-12-2026</t>
  </si>
  <si>
    <t xml:space="preserve">Absence of Department KPIs and performance appraisal mechanism </t>
  </si>
  <si>
    <t>KPIs for individual employee and departments are not yet developed and communicated. there is no mechanism in place for periodic performance appraisal and related reward for employees.</t>
  </si>
  <si>
    <t xml:space="preserve">Management of HR team should ensure;
•  Departmental KPIs and employee KPIs are formally defined, approved and communicated.
•      Actual performance is monitored against KPI on periodic basis for taking necessary corrective action (if required) A mechanism should be developed for Performance appraisal/Evaluations of employees on periodic basis, (at least) annually and apply it accordingly. </t>
  </si>
  <si>
    <t>الاستراتيجية غير معتمدة -31-12-2026</t>
  </si>
  <si>
    <t>Absence of repository and monitoring of adherence to applicable laws, circulars, regulations.</t>
  </si>
  <si>
    <t>IA noted that AAGH group company currently does not have formal process in place to identify applicable laws &amp; regulations and there is a lack of repository of applicable laws &amp; regulations related to and  maintained by Human Resource department</t>
  </si>
  <si>
    <t xml:space="preserve">Management of HR team should ensure;
•	HR co-ordinates with relevant stakeholder for identification of applicable laws/regulations. 
•	There should be repository in place for all applicable regulation/law/circulars relating to labor law applicable to company. </t>
  </si>
  <si>
    <t>Absence of Departments organization structure.</t>
  </si>
  <si>
    <t xml:space="preserve">IA noted that AAGH group company currently does not have approved organization structure </t>
  </si>
  <si>
    <t>Management should ensure an approved departments organization structure in place and update it on annual basis at the minimum.</t>
  </si>
  <si>
    <t>Absence of periodic Headcount reconciliation</t>
  </si>
  <si>
    <t>IA noted that AAGH group company currently does not have practice to prepare periodic reconciliation of actual headcount against the approved headcount so that timely actions can be taken in case of shortage / excess manpower.</t>
  </si>
  <si>
    <t xml:space="preserve">management should prepare Headcount reconciliation refreshed on periodic basis, any adverse situation should be reported in timely manner to higher management. </t>
  </si>
  <si>
    <t>Absence Job descriptions (JD).</t>
  </si>
  <si>
    <t>IA noted that AAGH group company currently does not have JDs for all existing positions in the organization .</t>
  </si>
  <si>
    <t xml:space="preserve">HR department should develop job description for key employees and communicate accordingly. All JDs across the organization should be reviewed on an annual basis. </t>
  </si>
  <si>
    <t>Absence of turnover analysis</t>
  </si>
  <si>
    <t>IA noted the absence of the followings:
1.	formal root cause analysis
2.	monitoring and reporting of turnover ratio/attrition to top management
3.	proposals / plans to address the attrition.</t>
  </si>
  <si>
    <t>Management should perform formal turnover analysis based on the information obtained in exit interview, prepare its recommendations and plan to control it to reasonable extent.</t>
  </si>
  <si>
    <t>Absence of approved salary scale and employee compensation</t>
  </si>
  <si>
    <t xml:space="preserve">IA noted the followings:
1.	AAGH group company currently does not have approved salary scales for all grades of employees.
2.	we noted wide range of deviations under each grade. Furthermore, there is no Benchmarking analysis and market research has been done for salary scales. 
3.	Currently, there is no approved variable compensation structure in place for sales staff as per company requirements.  </t>
  </si>
  <si>
    <t>Management should;
•	Perform a market survey and research for prevailing salary scales, based on that determine and establish pay scales for all grades of employees and get it approved accordingly.
•	Market research / Industry standards and corresponding revision / correction o salary grade for employee compensation should be performed on periodic basis.
•	Ensure that salary and benefits offered for the employee should be according to the approved salary scales and employee grade.
•	Compensation structure for sales staff are variable and aligned to sales performance. Variable compensation structure for sales workforce are periodically reviewed by HR head and Sales head.</t>
  </si>
  <si>
    <t>Absence of comprehensive candidates database</t>
  </si>
  <si>
    <t>IA noted that HR department is not maintaining database of candidate Appling to company for jobs, with details such as but not limited to;
•	Position applied
•	Qualification and experience
•	Rejection reason (if any) 
•	Approved with reasoning.
•	Remarks</t>
  </si>
  <si>
    <t>HR department should establish a comprehensive data base of candidates who applied for the jobs for any future requirements and reference.</t>
  </si>
  <si>
    <t>Absence of Medical checkup during on-boarding process</t>
  </si>
  <si>
    <t>IA noticed that the company does not require a medical check for employee and doesn’t ensuring that he is physically and mentally fit to take on board and for his work  assignments.</t>
  </si>
  <si>
    <t>Management shall implement the Pre-medical examination clause in the Offer Letter to determine whether employees can safely perform the job, reduce insurance claims, and related medical costs before a candidate is offered a position.</t>
  </si>
  <si>
    <t>Absence of quarterly  review of budgeted and variance analysis.</t>
  </si>
  <si>
    <t>noted that currently there is no formal practice of analyzing the employee related budgets and variances on periodic basis.</t>
  </si>
  <si>
    <t>Management should:
•develop a systematic basis of preparing budgets for each expense line and review these on periodic basis.
•Periodic variance analysis should be carried out with reasoning and corrective actions should be initiated against invalid overspendings.
•For expenses that are unbudgeted or exceeding the budgets prior sanction should be obtained as per DOA.</t>
  </si>
  <si>
    <t>Compliance</t>
  </si>
  <si>
    <t>Outdated and non-comprehensive compliance framework</t>
  </si>
  <si>
    <t>During our review, we have noted that the compliance framework in place is outdated and is not comprehensive.
Compliance framework is a comprehensive document that should at least cover but not limited to the followings:
•	Overall compliance department approach and scope.
•	Roles and responsibilities of department.
•	Authorities of department.
•	Compliance culture, awareness, and monitoring.
•	Structure and reporting lines of the department.
•	compliance universe
•	Compliance KPIs.</t>
  </si>
  <si>
    <t>Management should review, update, and have an approved comprehensive compliance framework and apply it accordingly.</t>
  </si>
  <si>
    <t>Compliance Head</t>
  </si>
  <si>
    <t>Outdated and inadequate Compliance policy and procedures.</t>
  </si>
  <si>
    <t>During our review, we noted that Compliance Department policy and procedures Version 1.0 approved in July 2019 and applied accordingly, states that the policy and procedures will be revised and updated in first quarter 2021 as mentioned below that revision was yet not completed and approved.
During our review of existing approved version, we noted the following areas/processes are not covered in policy and procedures:
•	Procedures to Communicate and monitor new rules and regulations and their follow ups process.
•	Departmental self-assessment.
•	Maintenance and update of Repository of applicable law/regulations or compliance register.
•	Staff training and development.
•	Communication procedures with regulators and departments.
•	Compliance champion, his/her role, and responsibility
•	Investigation procedures, root cause analysis and remedial action for any regulatory breach.
•	Approval procedures for delay/non submission of regulatory reports
•	Procedures to track and monitor timeliness for regulatory reports submissions.
•	Data retention policy as per applicable law
•	Procedure for periodic Gap analysis i.e., between laws/rules/regulations and current practice</t>
  </si>
  <si>
    <t>Management should revise and update policy and procedures in periodic manner. Also, to include the aforementioned areas during update.</t>
  </si>
  <si>
    <t>Inadequate mechanism for communicating new regulations / circular in timely manner</t>
  </si>
  <si>
    <t xml:space="preserve">During our review, we noted that there is a delay in communicating the new regulations/circulars to the relevant departments.
Below are the instances:
New Regulations	Date of email sent by Comp. Dept	Application date	Delay Days
Registration of expatriate accountant in SOCPA	14-Jan-20	31-Aug-19	137
Saudization for accountant profession + registration in SOCPA	30-Jun-21	11-Jun-21	19
</t>
  </si>
  <si>
    <t>Management should develop mechanism and / or tools of communication to relevant department for any new regulation/circular for timely compliance.</t>
  </si>
  <si>
    <t>Absence of approved organizational structure, Job Description and KPIs</t>
  </si>
  <si>
    <t>During our review, we noted the following:
1.	Organizational structure for the compliance department is not available.
2.	Job description for the department employees is not prepared, approved, and communicated to employees.
3.	No staff KPIs are defined, approved, and communicated to employees.</t>
  </si>
  <si>
    <t xml:space="preserve">
Management should prepare the followings, get it approved as per authority matrix, and communicate it to the staff:
•	Organization structure showing clear reporting lines.
•	Job description, succession plan and KPI for employees.</t>
  </si>
  <si>
    <t>Absence of comprehensive compliance register/ repository</t>
  </si>
  <si>
    <t xml:space="preserve">During our review we noted that the compliance register/repository of applicable laws/regulations is not comprehensive and is not covering applicable regulations and its requirements related to Human resource department. (Refer to appendix no. 1 for details). </t>
  </si>
  <si>
    <t>Management should develop mechanism to ensure coverage of all applicable rules and regulations.</t>
  </si>
  <si>
    <t>The Compliance Register is currently under development as part of an ongoing compliance risk assessment,</t>
  </si>
  <si>
    <t>Corporate Governance</t>
  </si>
  <si>
    <t>Outdated comprehensive corporate governance framework</t>
  </si>
  <si>
    <t xml:space="preserve">During our review, we noted the followings:
1.	Corporate governance framework for Alissa Group is outdated, (approved in 2014).
2.	Absence of documented Board of Directors Charter. 
3.	Certain Committees Charters are not in-line with the leading practices and not include e.g., Revision history, amendment process &amp; custodian.
(Please refer to appendix: 4)
4.	Following designated stand-alone policies including but not limited to are not in place:
•	Stakeholder Relation Policy.
•	Corporate Social Responsibility (CSR) Policy.
•	Crisis Management. 
•	Media/social media Policy. 
•	Related Parties Policy.
•	Conflict of interest.
•	Confidentiality Policy.
•	Nomination and remuneration policy.
</t>
  </si>
  <si>
    <t>•	A comprehensive corporate governance framework should be developed, documented, and should be aligned to the leading practices, periodically reviewed, and updated according to current practices. 
•	The Board of Director charter/mandate should be in place, and should clearly define the respective roles, responsibilities, selection, composition, membership, independence requirements, and authorities of the Board of Directors.
•	In next revision of committees’ charters, address the gaps identified and ensure that the charters are periodically reviewed.
•	Management should ensure development of aforesaid policies and applied accordingly.</t>
  </si>
  <si>
    <t>Board Secretary</t>
  </si>
  <si>
    <t>Outdated organizational structure</t>
  </si>
  <si>
    <t>During our review we noted the following are not reflected in Alissa group organizational structure:
•	The name of executive committee was changed to investment committee in board resolution no. 0119080307/01, dated 5 Aug 2019. (Both investment and executive committee are included in the organization chart)
•	Nomination and remuneration committee was formed in board resolution no. GRB 20054, dated 13 June 2021, however the current organizational structure is not representing this.
(Please refer to appendix: 5)</t>
  </si>
  <si>
    <t>Management should update and get approval of organizational structure reflecting the above identified gaps.</t>
  </si>
  <si>
    <t>Outdated code of ethics policy</t>
  </si>
  <si>
    <t>During our review we noted that code of ethics policy for Alissa Group staff is outdated. The company has in place code of ethics policy version 1.0 approved in Oct. 2019, states that the policy and procedures will be revised and updated in fourth quarter of 2021 as mentioned below that was yet not completed and approved.
Moreover, during review of existing approved version, we noted the following relating to ethical culture of the company:
1.	Absence of trainings or awareness sessions conducted for employees regarding adopted code of ethics. 
2.	The Code of Ethics does not illustrate the hotline contact details in case individuals can express concerns, questions, or observations regarding misconduct, unethical behavior.
3.	The code of conduct is not published to external stakeholders on company website.
4.	Absence of process to evaluate the individual's performance against the code of ethics standards incorporated in the performance evaluation process form.</t>
  </si>
  <si>
    <t>Recommendation(s):
•	A comprehensive code of ethics policy should be developed by the company and applied accordingly.
•	The Code of Ethics should be circulated to all existing and newly hired employees. Furthermore, proof of receipt of the code should be obtained and archived in the employees’ files within the HR department and employees are required to certify or take annual training regarding the code of ethics. 
•	The approved Code of Ethics should be published on the Company website. 
•	The Company should define the periodicity for reviewing and updating the code of ethics to consider any changes in company business environment and culture.
•	The HR department should consider the code of conduct related criteria in standard individual performance evaluation criteria.</t>
  </si>
  <si>
    <t>Absence of corporate document control policy framework</t>
  </si>
  <si>
    <t>During our review of policy development and management process, we noted the following:
1.	Absence of documented Policy Framework or/and policy for identifying, creating, approving, maintaining, and updating Company’s policies.
2.	Absence of standardized and unified policy template for all the Company’s policies.
3.	The policy ownership is not identified or transparent to the business or to the potential policy owner. 
4.	Absence of centralized location for all company’s policies to ensure that all employees have access to policies.
5.	There is no defined Policies and Procedures committee to review and approve all policies before final issuance.
6.	Absence of custody to review and update responsibilities related to the company's policies were not clearly documented and defined. As a result, a few key policies are missing.</t>
  </si>
  <si>
    <t xml:space="preserve">
•	The Company should develop a policy contains the necessary framework such that policies can be written by policy authors, and then reviewed, ratified, approved, published, communicated, trained, maintained, and revised and create a standardized policy template to ensure proper alignment.
•	The Company shall create a centralized location for all company’s policies to ensure that all employees have access to company's policies &amp; procedures and have a clear understanding of company’s policies.
•	Clearly define the roles and responsibilities related to the custody, review and update of policies and procedures and ensure that the same is reflected in the respective manuals. </t>
  </si>
  <si>
    <t xml:space="preserve">
A document control policy exists and has been shared for review; however, it has not yet been formally approved. Relevant policy links have also been provided.</t>
  </si>
  <si>
    <t>Absence of related parties and conflict of interest policies</t>
  </si>
  <si>
    <t>During our review of related party’s activities and conflict of interest management and monitoring process, we noted the following:
1.	Absence of designated policy and framework to govern the company’s Related Parties Transactions “RPTs” and dealing with its related parties.
2.	Absence of comprehensive identification methodology and lack of list/database of all related parties subject to deal with Alissa Group.
3.	There is no annual activity for declaration or certification from all the company’s employees (Directors, executive management, and employees) to declare any potential conflict of interest or related party disclosure. Furthermore, there is no documented acknowledgment from the employees that they read and understand the conflict-of-interest policy.
4.	There is no process in place to obtain employees’ disclosure regarding any potential conflict of interest or any relative relation at the time of job application.</t>
  </si>
  <si>
    <t xml:space="preserve">
•	The company should develop a comprehensive related party transactions policy.
•	A comprehensive related parties list should be developed and periodically updated based on available information. The list shall be communicated to concerned parties for their reference. 
•	The HR department shall ensure that the Job application for all newly hired employees has captured the employees’ disclosure regarding any potential conflict of interest or any relative relation.
•	 Furthermore, the HR department should ensure that conflict of interest policy is communicated to all employees through on-going annual certification as acknowledgement of receiving and understanding policy.			
Management Response: 
Corporate Governance manual (CGM) 2014 version included the declaration of related party transaction. However, we are working with other related departments to update the Corporate Governance Manual (CGM), in order to submit it to BOD for approval.</t>
  </si>
  <si>
    <t>Absence of whistle blow mechanism in place</t>
  </si>
  <si>
    <t xml:space="preserve">During audit it was observed that there is a whistleblowing policy for Alissa group, which was developed in Aug. 2019, that set out the guiding principles and procedures that facilitates the reporting of the code of ethics. 
However, we noted that the employees' acknowledgment of the whistleblowing policy was not obtained. Furthermore, whistleblowing policy and email/contact number are not published on the company website and the company's premise and hence no mechanism for external parties to raise concerns (if any). </t>
  </si>
  <si>
    <t xml:space="preserve">
•	The whistle blow policy should be circulated to all existing and newly hired employees. Furthermore, proof of receipt of the policy should be obtained and archived in the employees’ files within the HR department. 
•	Alissa Group should publish on the Company’s website with whistleblowing policy and develop channels / contact for receiving whistleblowing concerns and complaints from the external stakeholders.</t>
  </si>
  <si>
    <t>Absence of performance evaluation/assessments and training for board of directors</t>
  </si>
  <si>
    <t>During our audit, we noted absence of monitoring and periodic performance evaluation mechanisms implemented for board of directors and sub committees.
The Board of Directors shall conduct an annual evaluation to determine whether the Board and its Committees are functioning effectively. This assessment can be performed via self-assessment checklists, peer assessment, internal and/or external assessment by independent third party.
Furthermore, we noted the absence of a training plan and/or programs as part of the continuous professional development process for Board and committee members to develop their skills and knowledge in the fields related to the activities of the Company.</t>
  </si>
  <si>
    <t xml:space="preserve">
The Board of Directors shall conduct an annual evaluation to determine whether the Board and its Committees are functioning effectively, by ensuring the following:
1.	The Board shall receive comments from all members and complete an annual assessment of the Board's performance which will be discussed following the end of each fiscal year.
2.	The assessment shall focus on the Board's contribution to the company specifically on areas in which the Board or management has expertise.
3.	The assessment shall include an assessment of skills and experiences, identification of weaknesses and strengths, and mechanisms of the Board’s activities in general.
4.	The assessment of Board members’ performance shall either be addressed internally or externally. The various methods include:
•	Self-evaluation whereby every member assesses his/her own performance.
•	Peer-evaluation whereby member assesses the performance of the Board as a whole.
•	NRC may assess the performance of the Board / Board committees.
•	External independent evaluation whereby the Board performance is conducted by a third party every three years.
5.	Non-Executive Directors shall carry out a periodic assessment of the performance of the Chairman and consider the opinions of the Executive Directors on the assessment. The discussion shall take place without the presence of the Chairman.
6.	Develop training plans based on the board evaluation process and developing the necessary mechanisms for Board members to continuously enroll in training programs and courses to develop their skills and knowledge in the fields related to the activities of the Company. Moreover, the Chairman should address the development needs of the board.</t>
  </si>
  <si>
    <t>The Board of Directors’ evaluation will be implemented during the current year, in accordance with the evaluation method stipulated in the Governance Manual.</t>
  </si>
  <si>
    <t>Absence of delegation of authority</t>
  </si>
  <si>
    <t xml:space="preserve">During review we noted that there is no Delegation of authority matrix developed for Alissa Group Co. Delegation of authority framework provides the roadmap for achieving objectives within compliance requirements and by balancing the interests of our stakeholders, effective discharge of duties, minimizing, and avoiding conflicts of interest and practicing good corporate behavior.
However, a comprehensive delegation of authority matrix should be developed including the following areas but not limited to:
•	Review and approval authority of vision, mission, and objectives of company.
•	Authority level for review and approval of the related party transactions and declaration of possible conflicts of interest (if any).
•	Appointment and approval of key positions such as CEO, CFO. </t>
  </si>
  <si>
    <t xml:space="preserve">
A comprehensive authority matrix should be developed, regularly and periodically reviewed, and updated to address all above mentioned areas.</t>
  </si>
  <si>
    <t>Absence of approved organizations vision &amp; mission statement</t>
  </si>
  <si>
    <t>It was observed that documented &amp; approved Vision &amp; Mission statement of Alissa Group is not available
Vision statement of an organization becomes the basis for all business strategies and decisions, which details where the organization aspires to go.
Mission statements are an important navigational tool of the company’s future, which defines the organization's business, its objectives, and how it will reach these objectives.</t>
  </si>
  <si>
    <t>Vision and mission statement for Alissa Group should be developed and approved by the BOD, to have a strategic plan for success, an ideal vision for the company's future goal and a tool that defines the how it will reach these goals.</t>
  </si>
  <si>
    <t>Waiting the Group strategy</t>
  </si>
  <si>
    <t>Absence of induction and orientation programs</t>
  </si>
  <si>
    <t>The Company shall pay adequate attention to preparation of induction program for the recently appointed Board and committee members to familiarize them with the Company’s business, activities, and corporate governance framework.
However, during review we noted the absence of a formalized and comprehensive Board Member induction program and pack intends to serve as an information pack for new members joining the Company’s Board of Directors and sub committees.</t>
  </si>
  <si>
    <t xml:space="preserve">
A comprehensive Board Member Induction Manual shall be in place intends to serve as an information pack for new members joining the Company’s Board of Directors, and recommend including the following: 
1)	Strategy plan and key financial figures.
2)	Governance structure.
3)	Board Committees charters.
4)	The official documents (polices, procedures and other relevant documents).
5)	The Company's articles of association.
6)	The obligations of the Board members and their duties, responsibilities, and rights.
7)	Corporate governance policy.
8)	Code of conduct.
9)	Board remuneration; and 
10)	Company's risk management framework.</t>
  </si>
  <si>
    <t xml:space="preserve">Investment </t>
  </si>
  <si>
    <t>Outdated investment policy and procedures</t>
  </si>
  <si>
    <t>During our review, we noted that the investment policy and procedures is outdated. The company has in place investment policy version 1 approved in the year 2017, states that the investment policy and procedures shall be updated annually and presented to the Group Board, as mentioned below, that was yet not completed and approved.
A comprehensive and update investment policy should at least cover the (but not limit to) followings:
•	Investment objectives and general guidelines and horizon
•	Responsibilities and duties of parties.
•	Investment governance procedures.
•	Investment managers and authorized custodians
•	Risk objectives and appetite levels.
•	Portfolio diversifications and exposure limits.
•	Allowable investment and investment limitations/constraints.
•	Investment authorities and related limits.</t>
  </si>
  <si>
    <t xml:space="preserve">Investment policies and procedures should be updated annually and approved by the investment committee and the Board to assure that it meets Alissa group objectives. </t>
  </si>
  <si>
    <t>Investment Department</t>
  </si>
  <si>
    <t xml:space="preserve">This point is with Strategy </t>
  </si>
  <si>
    <t>Absence of comprehensive approved investment strategy and plan</t>
  </si>
  <si>
    <t xml:space="preserve">During audit we received the investment strategy and noted the followings:
1.	Approved investment strategy is not comprehensive. The corporate investment strategy provides clear direction for all the business units working in concert to meet shareholders’ expectations.
2.	Comprehensive approved yearly investment plan for the year 2021-22 is not in place that should include (not limited to):
•	Financial goals
•	Net worth statement
•	Budget and cash flow planning
•	Debt management plan
•	Retirement plan
•	Emergency funds
•	Estate plan </t>
  </si>
  <si>
    <t xml:space="preserve">
•	Management should develop a comprehensive investment strategy and covering all expects of investment and get it approved from board of directors before application.   
•	Management should develop a yearly investment plan and after approval from executive committee apply it accordingly.</t>
  </si>
  <si>
    <t>Significant difference between target and actual returns and exposure limits</t>
  </si>
  <si>
    <t xml:space="preserve">During review the followings are gaps are identified:
1.	In investment diversification by classes, significant differences are identified between target portfolio assets allocation by asset classes and actual investment made. 
2.	In Investment diversification by sectors below significant differences are identified from set and approved maximum exposure limits by investment committee. 
3.	We also noted that investment portfolio of Alissa holding is not diversified by geographical location as set and approved by investment committee.
Geographical allocation 
 	Targets	Actual
 	 	2020	2021
Global 	30%	0%	0%
Local (Mena and KSA)	70%	100%	100%
4.	We noticed that target returns on investments as set and approved by investment committee are not achieved in below highlighted segments:
 </t>
  </si>
  <si>
    <t xml:space="preserve">
Investment department should ensure compliance with investment policy more efficiently, set target for investment diversification and returns on investment should be achieved, monitored, and reported to investment committee on timely basis.   </t>
  </si>
  <si>
    <t>Absence of clear guides for defining the level of influence over underlined investment.</t>
  </si>
  <si>
    <t>During audit we noted that there are no guides in place for defining the level of influence over the underlined investment.
The existence of significant influence by company over the investee is usually evidenced in one or more of the following ways:
•	By representation on the board of directors of the other entity.
•	By participation in the policy-making process of the other entity.
•	By having material intercompany transactions between two entities.
•	By interchange of managerial personnel between two entities; or
•	By dependence on another entity for technical information</t>
  </si>
  <si>
    <t>Department should establish a defined mechanism and criteria for establishing the level of influence for investments under consideration.</t>
  </si>
  <si>
    <t>Absence of defined mechanism for performance monitoring and variance analysis.</t>
  </si>
  <si>
    <t>During review of investment process, we noted that there is no defined mechanism for performance monitoring and variance analysis of various investments. 
However, we noted that quarterly presentation showing investment performance were presented to board.</t>
  </si>
  <si>
    <t>Department should establish process for periodic performance monitoring of investments and perform variance analysis/root cause analysis of differences identified in actual and budgeted returns.</t>
  </si>
  <si>
    <t>Absence of defined due diligence checklist for new opportunity</t>
  </si>
  <si>
    <t xml:space="preserve">During audit review it was noted that there is no defined due diligence checklist mechanism in place for investments.
Due diligence is primarily a way to reduce exposure to risk by ensuring that a party is aware of all the details of an investment before agreeing to invest and enable investors to understand the risks attached to investment 
Major Due diligence domains for targeted company are as under:
•	General information	•	Organization &amp; ownership information 
•	Administrative	•	Regulation and compliance 
•	Accounting/Financial 	•	Operational
•	Tax /Zakat	•	Legal 
•	Technological	•	Physical assets
•	Intellectual property (IP)	•	Human resources
•	Commercial and Strategic	•	Cultural
</t>
  </si>
  <si>
    <t xml:space="preserve">Investment department should develop due diligence checklist for all new investments. </t>
  </si>
  <si>
    <t>Under Process</t>
  </si>
  <si>
    <t>Absence of defined mechanism for stress testing and VaR calculations.</t>
  </si>
  <si>
    <t>During audit review we noted that there is no defined mechanism developed for portfolio stress testing. Stress testing is a risk management technique used to evaluate the potential effects on an investment performance by a set of specified changes in risk factors. 
Stress testing helps gauge investment risk and the adequacy of assets, as well as to help evaluate internal processes and controls
Moreover, we noticed that no stress testing is performed for the investment portfolio of Alissa Group.
We also noted that VAR calculation is not performed on trading portfolio. VaR should be performed on the trading portfolio, which highlights the Profit and Loss position of the portfolio.</t>
  </si>
  <si>
    <t>•	Management should implement a risk management policy that enables them to verify and measure at any given moment the risks associated with their positions and how these affect the overall risk profile of the portfolios. This involves the AAGHs performing periodic stress tests to address risks that might adversely impact the collective investment schemes or individual portfolios they manage.
•	Department should develop process and mechanism to ensure (VaR) calculations has been performed on trading portfolio.</t>
  </si>
  <si>
    <t>Absence of automated investment department operations</t>
  </si>
  <si>
    <t>IT system facilitates number of activities like recording, reporting, analyzing of investment evaluation and risk assessment. However, during our review we noted that the company does not have an IT investment system to manage the investment across the portfolio. These activities are done manually, which are prone to manipulation and errors.</t>
  </si>
  <si>
    <t xml:space="preserve">Investment department in coordination with IT department should ensure automation of investment function and activities. </t>
  </si>
  <si>
    <t>Lack of segregation of duties</t>
  </si>
  <si>
    <t>During review of Investment department process, it was observed that segregation of duties was compromised.
Investment Analyst performs the following tasks.
1.	Identifying, analysis and monitoring of investment opportunity.
2.	Recording the accounting entry for investment.
Recording of accounting entry should be assigned to accounting and finance department instead of investment department.</t>
  </si>
  <si>
    <t>•	Management should look into this matter and to ensure proper segregation of duties is maintained.
•	System related access rights to be restricted through maker-checker &amp; approval control.</t>
  </si>
  <si>
    <t>Absence of documented selection criteria for third party service providers</t>
  </si>
  <si>
    <t>During our review, we noted the absence of a formal selection and evaluation criteria to be used for hiring a 3rd party service provider e.g., real-estate valuators, consultants, fund manager etc. In the absence of a defined criteria, risk further aggravated due to non-documentation of business rationale for selecting a particular service provider (in preference to other competing service providers).</t>
  </si>
  <si>
    <t>•	Management should develop a formally approved selection and evaluation criteria for all third-party service providers. 
•	All service providers should be required to sign NDAs with the company before commencement of services.
•	Management should maintain a list of all third-party service providers who have been approved in line with the envisaged criteria and management should periodically revisit this list to evaluate on-going compliance of service provider with Company defined criteria.</t>
  </si>
  <si>
    <t>Finance</t>
  </si>
  <si>
    <t>Record to Report / Finance</t>
  </si>
  <si>
    <t xml:space="preserve">Absence or outdated policies and procedures </t>
  </si>
  <si>
    <t>During our review, we noted the absence of updated finance and accounting policies and procedures. Moreover, the existing policies and procedures are outdated as issued since 2007.
 Financial policies and procedures include (but not limited to): 
•	Accounting policies &amp; procedures
•	Budget policies &amp; procedures
•	Accounts receivable and provision policy &amp; procedure
•	Accounts payable policy &amp; procedures 
•	Fixed asset policies &amp; procedures
•	Financial reporting policies &amp; procedures
•	Dividends policies &amp; procedures
•	Revenue assurance policy
•	Cost management policies &amp; procedures
•	Periodic closure of the accounting system
•	Treasury &amp; fund management policy &amp; procedures
•	Costing and pricing policy &amp; procedures  
•	Vat &amp; zakat policy &amp; procedures
•	Credit and collections policy &amp; procedures
•	Petty cash policy and procedures
•	Chart of Account maintenance
•	Access authorization
•	Manual entries
•	Intercompany cost allocation 
•	IFRS changes &amp; GAP Analysis
•	Mapping TB to financial statements
•	Communication with the regulator
•	Long outstanding Cash Reconciling items
•	Matching and reconciling items GL Accounts with Subsystem
•	BCP and DRP
•	Archiving and retention</t>
  </si>
  <si>
    <t>•	Management should develop, update &amp; communicate comprehensive finance, and accounting policies and procedures that support accurate, efficient, and timely reporting covering all business aspects along with the financial department activities that follow applicable accounting standards, laws, and regulations.
•	Management should document the updating procedures for the finance manual and update it on an annual basis at the minimum</t>
  </si>
  <si>
    <t xml:space="preserve">CFO / Budget &amp; Reporting Manger, Acting Finance Manager </t>
  </si>
  <si>
    <t>The policy submitted to the board for approvl</t>
  </si>
  <si>
    <t>Absence of approved organization structure, job description, and defined KPIs</t>
  </si>
  <si>
    <t>During review, we noted the following:
1.	Approved departmental organization structure is not available.
2.	Job descriptions for key positions were not developed and available for review.
3.	No KPIs are defined, approved, and communicated to key employees of the finance department. 
4.	Approved succession plan for key finance department staff was not developed and available for review.</t>
  </si>
  <si>
    <t xml:space="preserve">Management should develop Dept. Org. structure and succession plan, defined KPI &amp; Job descriptions, get them approved as per the authority matrix and communicate them to the staff. </t>
  </si>
  <si>
    <t xml:space="preserve">KPI Link with stratagy </t>
  </si>
  <si>
    <t>Negative working capital &amp; severe liquidity issue</t>
  </si>
  <si>
    <t xml:space="preserve">The financial statements of the Alissa Group as of December 31, 2021, reveal a significant disparity between current assets and liabilities, which led to negative working capital, as demonstrated by the information below.:  
		Audited Financial Statements balances as of 31/12/2021	Working Capital 
1	Standalone FS	Current Assets	      713,653,331 	    (1,987,720,767)
		Current Liability 	   2,701,374,098 	
2	Consolidated FS	Current Assets	   2,199,437,121 	    (1,399,494,219)
		Current Liability 	   3,598,931,340 	
		Balances as of 30/09/2022	
3	Consolidated FS	Current Assets	   1,747,628,000 	    (1,417,105,000)
		Current Liability 	   3,164,733,000 	
The negative working capital will lead to failure to meet the company’s current obligations.   </t>
  </si>
  <si>
    <t xml:space="preserve">The negative working capital necessitates early evaluation and escalation by finance management to senior management for corrective action to avoid further business-related issues and inability to pay liabilities in a timely manner. </t>
  </si>
  <si>
    <t>Inadequate segregation of duties</t>
  </si>
  <si>
    <t>During our review, we identified instances of lax control of user access privileges to ERP systems, including: 
The accountant can record and post the entries in the Kerridge system.
•	No maker checker mechanism in the Kerridge system for manual entries. 
•	No system workflow defines the recording process in the accounting system.</t>
  </si>
  <si>
    <t>Management in coordination with IT department should review privileges on ERP system, grant access on “need to know” basis and ensuring the alignment of delegation of authority with the job description.</t>
  </si>
  <si>
    <t>Delay in financial statement submission to GAZT</t>
  </si>
  <si>
    <t xml:space="preserve">During our review of financial statements preparation processes, we noted that the financial statements for the fiscal year ended 31 Dec 2021, were issued on 12 Sep. 2022, while the Zakat &amp; VAT Department required them to be submitted by April 30, 2022, at the latest.   
</t>
  </si>
  <si>
    <t>Management should plan and finalize audited financial statements on timely manner and ensure submission to GAZT on or before the due date.</t>
  </si>
  <si>
    <t>Delay of VAT payments results in penalty imposed by the authority</t>
  </si>
  <si>
    <t>A penalty of SAR 123,750 was imposed by the General Authority of Zakat &amp; Tax (ZTCA) on the company as a result of the company's tardiness in paying the VAT due in March 2021. As required by law, the penalty is equal to 5% of the unpaid VAT</t>
  </si>
  <si>
    <t>Finance must make sure that the VAT report is sent to the Zakat &amp; VAT section and that the VAT payment is paid within the allotted time frame. Any penalties must also be investigated, and the appropriate corrective action must be implemented promptly.</t>
  </si>
  <si>
    <t>Zakat &amp; VAT Head / CFO / Budget &amp; Reporting Manger, Acting Finance Manager</t>
  </si>
  <si>
    <t>System control issues and substantial system limitations</t>
  </si>
  <si>
    <t>During the audit review of finance operation and the adequacy of system control over its activities, we noted that basic problems such as duplicate entries, illegal entries, reconciliation mismatches, and inaccuracies, among others, cannot be detected or warned about by the Kerridge system</t>
  </si>
  <si>
    <t>Management should escalate the above system control issues and limitations (lacking basic error detection &amp; warning) to the Group IT for their review and immediate action to fix and enhance the system control on finance operation</t>
  </si>
  <si>
    <r>
      <t>CFO /</t>
    </r>
    <r>
      <rPr>
        <sz val="11"/>
        <color theme="1"/>
        <rFont val="Calibri"/>
        <family val="2"/>
        <scheme val="minor"/>
      </rPr>
      <t xml:space="preserve"> </t>
    </r>
    <r>
      <rPr>
        <b/>
        <sz val="11"/>
        <color theme="1"/>
        <rFont val="Calibri"/>
        <family val="2"/>
        <scheme val="minor"/>
      </rPr>
      <t xml:space="preserve">Budget &amp; Reporting Manger, Acting Finance Manager </t>
    </r>
  </si>
  <si>
    <t>Lack of approved authority matrix</t>
  </si>
  <si>
    <t>During our review to finance activities and operation we noted that there is no approved authority matrix at the group level to define and fix the authority limits of personnel on different group transactions 
The authority matrix defines the financial and administrative responsibilities and authorities delegated to those in charge of approving the decisions and transactions within the business</t>
  </si>
  <si>
    <t xml:space="preserve">•	Group management should develop a comprehensive authority matrix that clearly defines and fixes the authority limits of relevant personnel of different group transactions and should be distributed to the staff to follow and apply.
•	The authority matrix requires regular review by management to bridge any gap when and if detected </t>
  </si>
  <si>
    <t>lack of governance surrounding intercompany transactions</t>
  </si>
  <si>
    <t>During our review of the intercompany transactions, we noted that there’s 
•	There is no policy, defined mechanism and practice to confirm and reconcile intercompany balance on periodic basis. (Monthly, Quarterly, semiannual basis).
•	There is no approved procedure in place and applied for intercompany transactions approval and authorization.
•	Absence of an automated process for intercompany reconciliation
•	No comprehensive aging report for intercompany balances to address the balances over 90 days to help in review and escalation.</t>
  </si>
  <si>
    <t>•	Management should develop policy and procedure for reconciliation Intercompany transactions, get it approved and updated on an annual basis, policy and procedure must cover reconciliation template including ageing, identification of exceptions, procedures for resolution of exceptions, and approved escalation matrix in addition to an agreed timeline for all companies.
•	Develop procedure for approval and authorization of intercompany transactions.
•	Finance management should escalate the automation of reconciliation of intercompany accounts to Group IT for review and corrective action.</t>
  </si>
  <si>
    <t>Link with policies</t>
  </si>
  <si>
    <t>Absence of comprehensive financial closing checklist.</t>
  </si>
  <si>
    <t>During our review of the closing checklist that is being used by the management for monthly, quarterly, and annual closing, we noted that it is limited to GL accounts and does not include certain critical items such as:
1.	IFRS checklist (including all applicable IFRS, accrual, fixed asset, revenue, presentation of FS, disclosure, Subsequent events review process…etc.) 
2.	Journal Entries review process (including manual entries, Systematic entry, posting, sequences, authorized person…etc.)
3.	Trial Balance review process (including suspense accounts, clearing accounts, error accounts, long aged accounts, comparison with previous period... etc.
4.	Written and approved procedures for cutoff| period closure.
5.	Written and approved escalation procedures to ensure compliance with the timeline.
6.	Agreement with ERP and IT team regarding closure/freeze of general ledger with regarding the financial period cut-off/close
7.	Timelines are mentioned for each closing activity.</t>
  </si>
  <si>
    <t>Management should adopt a comprehensive closing checklist to ensure accurate reporting, proper closing of books and adherence to local regulations.</t>
  </si>
  <si>
    <t>Absence of digital archiving</t>
  </si>
  <si>
    <t>During our review of finance data retention, we noted the following:
	There is no digital archiving infrastructure in place to serve as a backup for physical archiving.</t>
  </si>
  <si>
    <t>Management should have a digital archiving system should be established a backup for physical archiving to assure the availability of suitable data retention and security</t>
  </si>
  <si>
    <t xml:space="preserve">Absence of regulatory log/repository  </t>
  </si>
  <si>
    <t>The department should ensure that it has duly complied with all external and internal laws/instructions, regulation, circulars that apply to the automobile business by maintaining an updated regulatory log.
During our review, we noted the absence of a repository of all laws, regulations, rules, and instructions issued by regulatory and supervisory bodies which apply to the department.</t>
  </si>
  <si>
    <t>Management should maintain a central repository of all laws, regulations, rules, circulars, and instructions issued by regulatory and supervisory bodies which apply to the department.</t>
  </si>
  <si>
    <t>Delay in the prior year ERP closing</t>
  </si>
  <si>
    <t>During our review of the financial statements’ preparation process, we noted that there is a significant delay in closing the accounting period after issuing the financial statements.  
The financial statements were approved and issued on 12 Sep 2022 while the prior year (2021) was closed later on2nd of Dec. 2022 after more than 2 months.</t>
  </si>
  <si>
    <t>•	Management should close the financial period in the ERP in a timely manner after the financial statement’s issuance date.
•	Any opening of a closed period must be subject to the CFO approval.</t>
  </si>
  <si>
    <t>Improper classification of related parties accounts in GL</t>
  </si>
  <si>
    <t xml:space="preserve">During our review of the financial transactions, we noted that certain employees &amp; shareholders accounts were categorized as accounts payable despite the fact that they had no trade transactions. </t>
  </si>
  <si>
    <t>Finance management should reclassify the accounts in the accounting system based on their nature to keep the trial balance in line with the financial statements</t>
  </si>
  <si>
    <t>Legal</t>
  </si>
  <si>
    <t>Absence of legal framework and policies &amp; procedures</t>
  </si>
  <si>
    <t>During IA review, it was noted that comprehensive policies and procedures covering all sub processes of the Legal department are not in place. 
For effective and efficient operations and management of legal department, complete set of policies &amp; procedures in line with Alissa group business to be documented and approved as per authority matrix. Such policies &amp; procedures may include (but are not limited to) following areas relating to:
•	Legal principles for different types of contracts (Vendor, outsourcing, collection, and repossession).
•	Procedure, and timelines for review of new and renewal of contracts by legal department.
•	Litigation management.
•	Legal advisory.
•	Collections legal remedial processes.
•	Review of all contracts by Legal department prior to finalization. 
•	Reporting high value/critical cases.
•	Review of existing and potential disputes by Head of legal and CEO.
•	Guidelines on confidentiality principles with legal firms.
•	Process to identify applicable laws &amp; regulations.
•	Centralized repository for maintaining applicable laws and regulations.
•	Review of existing, reversal and fresh legal provisions.
•	Scenarios, roles and responsibilities, timelines, approvals, and escalation matrix.
•	Escalation of significant cases or cases with reputational or regulatory implications. 
•	Cancellation/revocation of legal contracts.
•	Contract Management.
•	Retention of legal documents &amp; digital archiving.
It’s worth mentioning that the management had shared with IA draft policies and procedures, which are still under review and approval. Most of the areas highlighted above are already covered in the draft policy.</t>
  </si>
  <si>
    <t>Comprehensive policies and procedures manual for legal department should be developed, approved as per DoA, and implemented accordingly.</t>
  </si>
  <si>
    <t xml:space="preserve">Head of Legal Department </t>
  </si>
  <si>
    <t>Absence of department’s KPI’s, succession plan &amp; training program</t>
  </si>
  <si>
    <t>During our review, we noted that:
1.	Succession planning for key legal department staff were not developed and available for review.
2.	No KPIs are defined, approved, and communicated to key employees of the Legal department.
3.	Job descriptions are developed but are not communicated to and acknowledged by legal department staff.
4.	No training has been conducted for legal team &amp; have not attended any professional trainings, courses or seminars relating to legal expertise or any skills management and enhancement trainings.</t>
  </si>
  <si>
    <t>•	Management should prepare succession plan, get it approved as per authority matrix, and communicate it to the staff.
•	Management should define KPI &amp; JD get it approved as per authority matrix and communicate it to the staff.
•	Department should plan and arrange trainings for their staff relating to legal expertise, office management/skill enhancement trainings.</t>
  </si>
  <si>
    <t>Absence of Cost benefit analysis prior to filing legal cases / litigations</t>
  </si>
  <si>
    <t>During review, we noted that no cost benefit analysis is performed prior to filing legal cases / litigations. Cost benefit analysis is performed for legal cases to identify, if the stake involved is less than the expense in a legal case to take decision accordingly.</t>
  </si>
  <si>
    <t>Legal department should perform cost benefit analysis and present it to the management for approval, preceding to pursue a legal case.</t>
  </si>
  <si>
    <t>Absence of defined service level agreement</t>
  </si>
  <si>
    <t>During IA review, it was noted that no service level agreement exists between legal and other departments for smooth coordination and timely provision of information/data related to legal cases.
Management should develop and implement SLA that should include the below items but not limited to such as: 
•	Description of services.
•	Service levels, metrics, and timeline.
•	Escalation matrix for non-adherence to SLA.
•	Duties and responsibilities of each department and remedies in case of non-observance.</t>
  </si>
  <si>
    <t>•	SLA should be developed, approved, and implemented, that governs activity related to legal department activities, within Alissa group legal and other departments.
•	SLA should be circulated to all relevant departments.</t>
  </si>
  <si>
    <t>Absence of mechanism for contract management</t>
  </si>
  <si>
    <t>During review of the legal department the following were identified:
1.	Absence of master log file for all contracts that Alissa group entered.
2.	Absence of tracker to trigger renewal of contracts. 
3.	Absence of formal mechanism of contract review by the Legal department.</t>
  </si>
  <si>
    <t>•	The legal department should develop and maintain a master log file, with details and their status, for all contracts that Alissa group entered.
•	The log file should be updated on a regular basis.</t>
  </si>
  <si>
    <t>IT</t>
  </si>
  <si>
    <t>IT &amp; Cyber Security</t>
  </si>
  <si>
    <t>Absence of IT Strategy, IT Governance, and IT Steering Committee</t>
  </si>
  <si>
    <t>The lack of a defined IT strategy and governance framework limits the organization's ability to ensure technology initiatives align with and support corporate objectives.
Typically, an IT strategy and governance model outlines strategic direction, roles and responsibilities, processes for decision making, reporting and oversight. This helps organizations leverage IT in a manner that optimizes business operations.
However, upon review we found:
Formal planning documents such as an approved IT strategy and governance framework have not been established. As a result, there is no defined approach to how IT will be leveraged in support of organizational goals.
Existing IT policies developed in 2017 have not been periodically reviewed and updated to stay current with best practices and evolving business needs. Outdated policies may not adequately guide technology decisions and use.
A formal IT steering committee, which usually provides executive oversight of the IT strategy, service delivery and project portfolio, has not been implemented. This limits leadership prioritization and accountability for strategic technology initiatives.
The lack of these core elements reduces the organization's ability to strategically manage its technology resources in an aligned, optimized way to meet corporate objectives</t>
  </si>
  <si>
    <t xml:space="preserve">1.Develop an IT strategy and governance framework that clearly defines priorities, roles, and decision-making processes. This will better align technology with the long-term business plan.
2.Establish an executive IT steering committee to provide strategic direction and monitor performance against objectives. Regular oversight will help address issues early.
3.Conduct an annual policy review cycle and implement continuous updates to address emerging risks proactively. </t>
  </si>
  <si>
    <t>IT Department</t>
  </si>
  <si>
    <t>Expected to be addressed in the undergoing Group Strategy</t>
  </si>
  <si>
    <t>Absence of IT Risk Management Process</t>
  </si>
  <si>
    <t>The objective of the Risk Assessment is to determine the extent of the potential threat and the risk associated with IT Assets throughout their life cycle. This allows organizations to proactively manage risks that could interfere with business operations. 
During the review of IT Risk Management, the Audit team noted that a formal IT Risk Management Framework does not exist in AAGH. Further, periodic risk assessments are not carried out by the IT department to identify, quantify, and prioritize IT risks.</t>
  </si>
  <si>
    <t>Develop a formal Enterprise IT Risk Management Framework tailored specifically for AAGH.
•	The framework should define the methodology, processes, roles and responsibilities for identifying, assessing, prioritizing and mitigating IT risks on an ongoing basis.
•	Incorporate risk tolerance levels to facilitate prioritization of the most critical risks based on potential business impact.
•	Mandate regular periodic risk assessments be conducted by the IT team to continuously evaluate threats to systems, assets, data and dependencies. Assessments should identify new and evolving. risks as well as re-evaluate existing risks as the internal/external environment changes.
•	Establish performance reporting mechanisms to update senior management on key risks, mitigation progress and emerging issues.</t>
  </si>
  <si>
    <t>IT Risk Management Framework is ready and will be reviewed with Management during 1st Q 2026</t>
  </si>
  <si>
    <r>
      <t xml:space="preserve">Inadequate IT Asset Management Controls </t>
    </r>
    <r>
      <rPr>
        <sz val="11"/>
        <color rgb="FFFFFFFF"/>
        <rFont val="Calibri"/>
        <family val="2"/>
        <scheme val="minor"/>
      </rPr>
      <t xml:space="preserve"> </t>
    </r>
  </si>
  <si>
    <t>IT has a deployed Service Management “Manage Engine Service Desk Plus” tool which provides multiple features such as Help Desk Management, IT Asset Discovery, Software Asset Management, Asset Inventory Reporting services, etc.
During the review of IT Asset Management, the Audit team noted the following:
1.Manage Engine Service Desk Plus is not being utilized for asset discovery for centralized management of IT assets.
2.IT Asset Management Policy and Procedure was developed in 2017 and not updated according to the business requirements.
3.IT Asset Register is maintained through Keridge system (Fixed Asset Register) on ad-hoc basis and various stages of asset lifecycle including procurement, classification and labeling, deployment, maintenance, support, and retire /disposal, etc., are missing in the register.</t>
  </si>
  <si>
    <t>•A comprehensive IT Asset Management policy and procedure shall be developed and implemented.
•A detailed asset register shall be maintained. At minimum details such as asset tag, description, asset type (owned/leased), acquisition date, corresponding PO details, number of licenses (in case of software), license type, number of installations, number of users, model number, make, asset serial number, employee name, disposal date, proceeds on disposal, and active lifetime shall be captured in the asset register/ inventory.</t>
  </si>
  <si>
    <t xml:space="preserve">Due to absence of mature system, IT is managing assets using excel and will share it with IA.
Asset management policy already excist and part of the approved IT policy. </t>
  </si>
  <si>
    <t>Lack of License Management Practices</t>
  </si>
  <si>
    <t>License management is a critical aspect of IT operations within an organization. It involves the procurement, tracking, and compliance management of software licenses and usage. 
During the review of IT operations at AAGH, it was observed that there is a lack of effective license management processes and practices.
Based on the provided license details sheet, IAD noted that multiple applications and hardware license has expired and have not yet been renewed to continue the services and reduce the operational risk. It may result in exposure to unnecessary risks and inefficiencies due to the absence of adequate license management practices. Please Refer to the Appendix A1.</t>
  </si>
  <si>
    <t>•It is recommended that ITD take the appropriate procedures to renew all expired licenses and continuously report the software license requirements to top management for the adequate budget.</t>
  </si>
  <si>
    <t xml:space="preserve">IT is managing Licenses using ME. List of licenses wstatus will be shared with IA
</t>
  </si>
  <si>
    <t>Lack of End Point Protection Process</t>
  </si>
  <si>
    <t>AAGH has implemented Symantec Endpoint Protection to safeguard servers and workstations from malicious software threats. However, the internal review uncovered gaps in endpoint security coverage.
While the organization maintains approximately 450 active client devices, auditors found not all assets are adequately protected. As an example, one laptop within the Internal Audit department lacks installation of the Symantec solution.
Moreover, the license agreement for the existing Symantec software expired on September 8, 2023, according to records. Without license renewal, continued security updates and management of protected devices will not be possible.</t>
  </si>
  <si>
    <t>•Deploy endpoint security solutions to all servers and workstations, closing coverage gaps.
•Renew licenses for existing protection tools like Symantec in a timely manner to ensure continued updates and management.
•Implementing these recommendations directly addresses the deficiencies and bolsters protection across the IT estate.</t>
  </si>
  <si>
    <t>Cybersecurity</t>
  </si>
  <si>
    <t>Inadequate Identity and User Access Management Process</t>
  </si>
  <si>
    <t>Identity and User Access Management (IAM) is a fundamental component of IT security that involves defining and managing the roles and access privileges of individual users or system components. It ensures that users have the appropriate access rights to systems and resources while preventing unauthorized access.
During the assessment of IT operations at AAGH, it was identified that the organization has an inadequate Identity and User Access Management process in place. Several issues were noted:
There is no single-sign (SSO) process to govern access to all applications. Only one out of nine (Manage Engine) applications examined are integrated with Active Directory.
The absence of a Single Sign-On (SSO) solution within AAGH's IT infrastructure presents several challenges. The user access process is hindered by the need to manage multiple sets of login credentials. For example, a regular user has access to over six applications with different credentials. This results in a lack of control over who has access to specific systems and data.
Guest accounts are enabled in the IT department and without proper controls which increases the risk of unauthorized access to IT systems, applications, and data.
Local Authentication is active for all application servers.
No Privileged Access Management process is in place to monitor the administrative user activity over critical systems and applications.
There is no periodic access review process in place to verify and update user access permissions. This leads to a higher risk of inappropriate access.
Moreover, Multifactor Authentication is not configured on critical business applications.</t>
  </si>
  <si>
    <t>•Implement single sign-on for centralized authentication.
•Require multifactor auth for admin/privileged accounts.
•Disable local server access and integrate with SSO.
•Establish approval workflows and regular access reviews.
•Enforce least privilege access and segregation of duties.
•Monitor all privileged actions and restrict generic accounts.
•Develop centralized IAM policies and procedures.
•Conduct phishing tests and security awareness training.
•Perform vulnerability scanning to identify weaknesses.
•Timely account de-provisioning for departing users.</t>
  </si>
  <si>
    <t xml:space="preserve">IT Raodmap "includes all the recommended tools/solutions" submitted to Management for approval and fund. 
To be implemented in 2026
</t>
  </si>
  <si>
    <t>Inadequate Password Management Process</t>
  </si>
  <si>
    <t>Password policies play an important role in maintaining the security of organizational systems by enforcing strong, unique credentials that are changed regularly. This reduces the risk of unauthorized access and data breaches.
During the Internal Audit (IA) observed that a password policy in the AAGH business application was not appropriately implemented. Password parameters such as password length and password complexity not being enforced, users would end up creating shorter and easier passwords, which can be cracked with lesser effort (for example: through Brute-force attacks, dictionary attacks, etc.). Further, IA observed that in one CARPRO application password length of users is as short as one (1) character. In the ERP application password length is 3 digits.
Moreover, the Passwords Master File in the CarPro database is not encrypted, there is no lockout mechanism to restrict the user from multiple logins. Please Refer to Appendix A2.</t>
  </si>
  <si>
    <t>•Update the policy to mandate complex passwords combining special characters, numbers, and mixed-case letters. Simple passwords leave gaps.
•Enforce longer minimum length requirements to harden credentials against brute force cracking attempts.
•Implement automatic account lockouts after a set number of failed login attempts. This protects against password guessing and hacking methods exploiting the weak policy.
•Adopt password standards aligned with industry frameworks to ensure adequate security in line with modern threats.</t>
  </si>
  <si>
    <t>Lack of Controls for Revoking Access Rights for Resigned/Terminated Staff</t>
  </si>
  <si>
    <t>The cybersecurity audit identified issues with how Active Directory (AD) is managing user identities and access across systems. AAGH and Auto Star share a common AD infrastructure but lack proper protocols for notifying each other of staffing changes.
Specifically, on August 31, 2023, an employee transferred from Auto Star to AAGH. However, the AAGH IT team was not informed and did not deactivate the employee's original ID (#61648) in the Active Directory. As a result, this ex-staff was still able to potentially access systems and resources under their old credentials even after transferring departments.
Adding to the issue, when joining AAGH the same employee was assigned a new ID (#GO10264) but still had privileges associated with both identities simultaneously.
Separately, an employee with ID #IT91120 resigned from AAGH but their AD account was not deactivated as required. Their user ID remained active even though they were no longer with the organization.
The audit findings show weaknesses in how shared Active Directory manages user life cycles and access permissions across the organization. Proper controls and communication protocols need to be established to prevent discrepancies between real-world staffing changes and active identities/privileges in technical systems. Please refer to Appendix A3</t>
  </si>
  <si>
    <t>•Establish documented procedures for handling access rights when staff members leave the organization. 
•These procedures should define the steps for revoking access privileges and the responsible parties for carrying out these actions.
•Regular Access Reviews: Conduct regular access reviews to ensure that staff members have appropriate access rights.</t>
  </si>
  <si>
    <t>Insufficient Patch Management Controls</t>
  </si>
  <si>
    <t>AAGH deployed patch management solution IVANTI for vulnerability assessment, however, the solution has been transferred to Al Yusr, and AAGH is doing manual patching for only Windows servers.
During the Audit IAD noted the following discrepancies:
AAGH lacks a vulnerability and patch management solution to identify and mitigate the potential risk in the business system.
There is no staging environment to test critical patches before applying them to production to ensure the risk impact of updated patches has been mitigated. This also necessitates the existence of a restoration process to roll back the patches directly from the live system in case of any issues with the patch, which is not a very cost-effective practice in terms of time and effort.
Windows base servers are being patched through a manual process and, on an Ad Hoc basis, however, Linux (Solaris) base servers and End Points workstations are not being scanned and patched to reduce the potential vulnerabilities.
It may result in Critical patches and updates for operating systems, and software applications, are not consistently applied.</t>
  </si>
  <si>
    <t>•Implement a centralized vulnerability and patch management solution to automate identification, testing, and remediation of security issues across all systems.
•Establish standardized patch policies governing testing, approval and controlled deployment of updates.
•Dedicate a test environment and develop restoration guidelines to minimize production risks.
•Conduct regular scans to track remediation and ensure all vulnerabilities receive attention.</t>
  </si>
  <si>
    <t xml:space="preserve">"ME" Patch Management system already implemented. 
</t>
  </si>
  <si>
    <t>Lack of Network and Infrastructure Management Controls</t>
  </si>
  <si>
    <t>During the audit. IAD evaluated network and infrastructure management process measures, and several shortcomings have been identified.
End-of-life Network Equipment:
Critical devices like routers, switches and firewalls can no longer receive security updates from vendors as they are past end-of-support dates. This significantly increases vulnerabilities.
Weak Firewall Configuration:
Firewall configurations do not align with practices like proper web filtering, IPS, and virus protection. Firmware also needs upgrading which may allow unauthorized access and increased breach/intrusion risks. Moreover, some licenses had expired in 2021. Please refer to Appendix A4.
Outdated Network Documentation:
Network diagrams are inconsistent with current infrastructure, making the topology and relationships difficult to understand. Updated documentation is required.
Lack of IT Succession Planning:
No plan exists to maintain network/security architecture. Reliance on a sole freelancer contractor was noted without a formal agreement ensuring accountability and data integrity. Stronger governance is needed.</t>
  </si>
  <si>
    <t>1)Upgrade critical outdated network devices on an accelerated timeline.
2)Implement strong firewall configurations and regular reviews aligned with policies.
3)Update network documentation regularly to reflect current infrastructure.
4)Establish formal IT processes for changes, incidents and roles/responsibilities.
5)Conduct vulnerability scans and audits to validate security posture.
6)Establish vendor support/EOS policies to proactively plan for upgrades</t>
  </si>
  <si>
    <t>Lack of Physical and Environmental Security</t>
  </si>
  <si>
    <t xml:space="preserve">During the assessment of physical and environmental security measures, several critical deficiencies have been identified.
Inoperable fire detection systems: Testing found the fire and smoke detectors inside the data center were non-functional, compromising critical early warning capabilities needed to safeguard people and assets from fire dangers. Without properly operating detection mechanisms in place, any flames or smoke would likely go unnoticed, significantly increasing the risk of damage from fire to both infrastructure and individuals on site.
Fire risk elevated by combustible storage: The on-site inspection discovered combustible materials present near IT resources within the data center. Having flammable items stored so close to critical systems raises the danger of any ignitions spreading rapidly should a fire start. The proximity makes the technology and systems more vulnerable to fire damage or disruptions from even a small flame. 
Lack of fire suppression capability: The fire extinguisher at the data center was found to have expired, meaning the primary fire suppression resource is no longer functional and reliable should a blaze break out. With the fire extinguisher now ineffective due to its age, there is no adequate way currently in place to quickly contain a fire at its early stages before it can spread and cause damage. This leaves the site exposed to greater fire risks without key suppression tools available as a precaution.
Visitor log gaps pose security issues: The lack of a robust visitor tracking process means there is no reliable way to monitor who gains access to the data center, when, and why. This compromised oversight ability heightens the risk of unauthorized or malicious intrusions going unnoticed.
Single point of access vulnerability: Relying solely on one individual's key for data center entry introduces a central point of failure for access control. It raises the possibility of unwanted trespassing getting past this single safeguard. Additionally, any issues with the single key holder could delay an urgent response in an emergency situation due to the lack of alternative entry methods.
</t>
  </si>
  <si>
    <t>•Conduct a thorough inspection and promptly repair or replace non-functional fire and smoke detectors to ensure early fire detection and alarm.
•Eliminate or relocate combustible materials from the data center environment to reduce fire hazards.
•Replace the outdated fire extinguisher with a fully functional and up-to-date model to provide effective fire suppression capabilities.
•Implement a comprehensive visitor log system that records visitor information, including name, purpose of visit, date, and time of entry and exit.
•Introduce a robust access control system, such as key cards or biometric access, to ensure that only authorized personnel can enter the data center. Assign responsibility for managing access control to qualified personnel.
•Conduct fire safety and evacuation training for personnel awareness and preparedness.
•Install closed-circuit cameras for security monitoring and records of all unauthorized access.</t>
  </si>
  <si>
    <t>Only  robust access control system is not implemented.
Will be covered during IT Roadmap implementation.</t>
  </si>
  <si>
    <t>Absence of data backup and recovery protocols</t>
  </si>
  <si>
    <t>During the audit of IT network operations, it was found that:
•	Audit of IT operations found no formal backup or disaster recovery processes defined.
•	Critical systems and data lack routine secondary copies for protection.
•	Hardware failures, corruption or disasters could result in unrecoverable primary data loss.
•	Absence of tested restoration procedures compromises the ability to resume operations efficiently.
•	Inconsistent retention policies stems from resource constraints for purchasing and maintaining backup tapes.
•	Production environment currently lacks any active data protection safeguards.
•	Risks to business continuity and data integrity are significantly increased without defined resilience measures.</t>
  </si>
  <si>
    <t>•	Developing structured policies and procedures for routine, automated backups of all mission-critical data and systems to secondary storage.
•	Securing off-site placement of backup copies to facilitate recovery independent of any on-premise disruptions.
•	Implementing a regular testing schedule to validate restoration capabilities from backups in line with the Recovery Time Objective (RTO)/ Recovery Point Objective (RPO).
•	Creating a documented disaster recovery plan outlining roles, processes and resources for efficiently resuming operations in the event primary systems are compromised.
•	Promoting awareness of the strategy through communication and training to uphold continuity preparations</t>
  </si>
  <si>
    <t>This Should be joint work and efforts with specialized Risk and CS.</t>
  </si>
  <si>
    <t>Absence of Logs and Audit Trail</t>
  </si>
  <si>
    <t>Logs are a very effective methodology that helps in identifying and correcting issues related to the performance and security of IT applications by collecting different types of logs and storing them in one centralized repository for monitoring, evaluation, analysis, and action. 
AAGH IT department currently lacks a centralized system for collecting, analyzing, and monitoring application/database level logs which decreases visibility into critical application behavior.
There is a critical vulnerability that has been observed regarding changes made to the database of the critical business application, which (inserts, updates, deletes.) that are carried out from the backend, are not being logged. The absence of logging and audit trails limits the organization's ability to track and attribute actions and events to specific users or systems. This lack of accountability can hinder investigations and incident response</t>
  </si>
  <si>
    <t>Develop a comprehensive logging and audit policy that defines what events and activities should be logged, the format of logs, and retention periods. Ensure alignment with industry regulations and best practices.
Implement a centralized log collection and storage system that captures logs from all relevant systems and applications. Ensure that logs are protected against tampering and unauthorized access</t>
  </si>
  <si>
    <t>Absence of IT Budget Process</t>
  </si>
  <si>
    <t>The internal audit has identified a notable concern regarding the absence of an IT budget within the organization. This observation carries several implications.
•	Audit found a lack of defined IT budgeting policies and annual planning processes.
•	For 2022-23, no dedicated IT budget was allocated to support operations.
•	Critical infrastructure like Nutanix servers and firewalls were outdated with expired vendor support contracts due to non-payment.
•	A main Nutanix server failed, disrupting all business, as licenses had lapsed and required external support to resolve.
•	Other critical apps (Keridge, Manage Engine, etc.) also had expired support due to lack of provision for ongoing payments.
•	Absence of dedicated, planned IT funding increases risk of assets lapsing or insufficient ongoing maintenance/upgrades.</t>
  </si>
  <si>
    <t>Develop a comprehensive IT budget that aligns with the organization's strategic goals and objectives. This budget should encompass all IT-related expenses, including hardware, software, staffing, training, maintenance, and cybersecurity measures.</t>
  </si>
  <si>
    <t>Lack of web traffic encryption</t>
  </si>
  <si>
    <t>The audit found the organization's public-facing websites and applications do not employ SSL/TLS protocols to securely encrypt data transmitted over the network. Without these baseline security controls, sensitive information like payment details exchanged between users' web browsers and servers are vulnerable to interception by malicious third parties. Enabling industry-standard encryption of web traffic is recommended to protect the confidentiality and integrity of communications involving personal or financial data submitted online. This would help reduce risks of data breaches stemming from unprotected transmission channels. Moreover, an audit review of critical applications and network interfaces found:
•	No SSL certificate installed on the identified systems per Appendix A5 details.
•	Unencrypted connections exist between application servers and client web browsers.
•	Sensitive data exchanged through these channels is vulnerable to interception.
•	Baseline security measures like SSL encryption are absent from these in-scope systems.</t>
  </si>
  <si>
    <t>To secure vulnerable network communications and reduce risks:
•	Implement SSL/TLS encryption on the identified application and login systems.
•	Acquire and deploy valid SSL certificates to authenticate servers and encrypt data in transit.
•	Ensure encryption protocols are appropriately configured to prevent man-in-the-middle attacks and intercepted sessions.
•	Review additional systems for SSL/TLS compliance and harden any insecure channels.
•	Consider ongoing renewal and replacement of expiring certificates.</t>
  </si>
  <si>
    <t>Lack of Software Development Life Cycle (SDLC) and Input Controls Process</t>
  </si>
  <si>
    <t>AAGH has developed an ERP (Enterprise Resource Planning) solution in-house to replace the Keridge for daily business operations. This ERP has three active modules Sales, Finance, and Procurement.
The internal audit has identified a significant concern regarding the organization's ERP (Enterprise Resource Planning) application, specifically the absence of a structured Software Development Life Cycle (SDLC) process.
There are no business requirement documents that have been evidenced to ensure the requirement of business.
A vulnerability / Risk assessment has not been performed before deployment in the production environment to ensure the risks are mitigated.
The date and time settings in the procurement module are not synchronized, which may lead to inaccuracies in input data and affect the reliability of the system. Additionally, defined Maker and Checker controls are absent according to roles and responsibilities, increasing the risk of unauthorized or erroneous transactions within the system, and potentially resulting in financial and operational vulnerabilities. Please Refer to the Appendix A6.</t>
  </si>
  <si>
    <t>Develop a structured Software Development Life Cycle (SDLC) process to ensure consistent development practices, quality assurance, risk management, data privacy, and compliance are adequately addressed in ERP application development and maintenance. This should involve defining clear development stages, documentation requirements, testing protocols, and change management procedures to enhance accountability and reduce risks.</t>
  </si>
  <si>
    <t>New ERP not yet implemented.
Planned in 2026</t>
  </si>
  <si>
    <t>Absence of IT Training Plan</t>
  </si>
  <si>
    <t>An IT training plan is a systematic approach to educating employees about the importance of information technology and providing them with the necessary skills and knowledge to use it effectively in the workplace.
During the review, the Internal Audit team noted that the IT training plan is not developed to ensure the IT staff has the necessary skills and knowledge to manage technology effectively and securely in the workplace. 
Moreover, IT training sessions (i.e.: workshops and live training) are not provided for AAGH IT staff. Consequently, there is an increased risk that staff with critical IT roles may not address and operate the IT controls over information assets adequately.</t>
  </si>
  <si>
    <t>It is recommended to develop the IT Training plan, get it approved by the senior management, and implement it.</t>
  </si>
  <si>
    <t>Training Plan submitted to HR</t>
  </si>
  <si>
    <t>Account Payable</t>
  </si>
  <si>
    <t>Procure to Pay / Account Payable</t>
  </si>
  <si>
    <t>Absence of approved policies and procedures</t>
  </si>
  <si>
    <t xml:space="preserve">During our review, we noted the absence of approved policies and procedures to cover the accounts payable process. </t>
  </si>
  <si>
    <t>Management should develop policies and procedures that align with the company’s strategy and objectives, which should be approved by relevant management and communicated to staff accordingly.</t>
  </si>
  <si>
    <t>Internal control weaknesses surrounding Accounts payable process.</t>
  </si>
  <si>
    <t>1.It was noted that there is no defined mechanism to seek periodic balance confirmation and subsequent reconciliation of identified differences between vendor statements of accounts and confirmation.
2.Despite the importance of the archiving system, we have noticed no documented and approved policies for managing and organizing archiving procedures in the Finance department.
3.There is no automation of the payable matrix in the Finance module, and all payments were tracked, approved, and monitored manually.
4.It was noted that there is one of the accountants has a “management” user, which compromises the segregation of duties as it allows the accountant posting authority in addition to initiating and recording the transactions.</t>
  </si>
  <si>
    <t>•There should be defined processes for review and reconciliation of accounts payable on a periodic basis.
•Balance confirmation should be obtained for significant vendors.
•Develop and adopt a policy for archiving finance department documents.
•Explore the possibility of automating the authorization process through the system and ensure that the authority limits should be defined in the system as per DOA.
•Management should ensure proper segregation of duties is in place and has appropriate documented approvals for granted access rights for all system users.</t>
  </si>
  <si>
    <t>This will be implimended in new ERP</t>
  </si>
  <si>
    <t>Absence of department DoA, Organization structure, JD, and KPIs</t>
  </si>
  <si>
    <t>During our review, we noted that:
•Absence of approved Delegation of Authorities (DoA).
•Approved department structure for the Account Payable section is not available.
•Job descriptions for key Account Payable staff were not developed and available for review.
•No KPIs are defined, approved, and communicated to key employees of the AP section.
•Succession planning for key AP staff was not developed and available for review.</t>
  </si>
  <si>
    <t>•Management should prepare DoA, Dept. Org. structure &amp; Succession plan get it approved as per authority matrix and communicate it to the staff.
•Management should define KPIs, and job descriptions &amp; get them approved as per the authority matrix and communicate them to the staff.</t>
  </si>
  <si>
    <t>Long outstanding balances of vendors &amp; absence of escalation procedures</t>
  </si>
  <si>
    <t>1.It was noted that most of the vendors had no movement and pending balances for more than 1 year amounting to SR 3,282,485 representing 46% of total accounts payable, also, 93% of total AP amounting to SR 6,705,098 aged more than 6 months as of Dec. 2022. - Appendix no 1.
2.It was noted that there are no escalation procedures defined and implemented to act against long pending Accounts payable balances.</t>
  </si>
  <si>
    <t>Management should develop a process for monitoring inactive long outstanding balances to review and escalate to higher management to be adjusted on a timely basis.</t>
  </si>
  <si>
    <t>Inadequate recording and payment process</t>
  </si>
  <si>
    <t>During our review of the recording and payment of payables, we noted the following:
1.There are delays in recording vendor's invoices as follows:
2.There is a lack of supporting documents that essential be attached and available to support the payables recording, such as below:
3.There is no defined process, and no documented procedure is available to ensure that the Finance department has checked the availability of the approved budget for the requested transaction before PO approval or processing payment.
4.There is no process manually or through the system to confirm that the beneficiary department received and accepted the service before initiating the payment process.</t>
  </si>
  <si>
    <t>•Implement a streamlined and efficient process for recording vendor invoices promptly.
•Establish a clear policy requiring all payables to be supported by relevant and complete documentation. Ensure that all supporting documents are attached and readily available.
•Introduce a robust systematic process to verify budgeted balances before making purchases or payments and implement controls within the payment approval workflow to check against budget allocations.
•Implement a process to confirm and document that the beneficiary department has received and accepted services before initiating the payment process. This can include sign-off procedures, confirmation emails, or a formal acceptance form. Integration with procurement systems may enhance automation in this regard.</t>
  </si>
  <si>
    <t>Update with New ERP</t>
  </si>
  <si>
    <t>Procure to Pay / Treasury</t>
  </si>
  <si>
    <t>Inadequate controls over active bank accounts</t>
  </si>
  <si>
    <t>During our review, we noted the following observations on current bank accounts:
1.An unclaimed dormant account with a balance of SR 150,000 has been identified in Saudi Fransi Bank, this account is not included in the Treasury's active bank list.
2.There are 35 bank accounts, 9 of these accounts had no movement for a long time – more than one year.
3.There are 8 bank accounts that appear in received bank confirmation as of 31 Dec. 2022, these accounts are neither in the active account list maintained by the Treasury nor in the Finance Department's list.
4.There are 4 bank accounts for which no bank confirmations have been obtained.
All the above details are mentioned in Appendix No. 2.</t>
  </si>
  <si>
    <t>•Conduct a thorough investigation and reconciliation process, and implement corrective measures to ensure the accuracy, completeness, and alignment of information across all relevant records.</t>
  </si>
  <si>
    <t>Discrepancy in Delegation of Authorization (DoA)</t>
  </si>
  <si>
    <t>A notable variance was identified in the Delegation of Authorization (DoA) between online banking and hard copy transactions. 
1.Al Ahli Bank: In online transactions, both the initiator and approver roles are held by treasury department employees without predefined authorization limits as specified in the approved DoA. It is crucial to highlight that, even if online transactions are not initiated without properly approved hard copy payment requests in accordance with the DoA, aligning the approved DoA limits with online banking practices is imperative for consistency and compliance.
2.Al Rajhi Bank: There is an Online SADAD account both the initiator and approver roles are held by treasury department employees (one of them NAT’s treasury employee) without predefined authorization limits as specified in the approved DoA.
3.The fact that there are only 2 employees who have authorization for each online banking raises risk if one of these two employees is unavailable for any reason.</t>
  </si>
  <si>
    <t xml:space="preserve">•Align the online banking DoA with the approved hard copy DoA to ensure consistency and compliance.
•Clearly define and implement authorization limits for approval of transactions in online banking.
•Explore the possibility of automating the authorization process through the system and ensure that the authority limits should be defined in the system as per DOA.
•Assign authorization for additional employees to prevent any operation interruption. </t>
  </si>
  <si>
    <t>Inadequate controls over bank reconciliations</t>
  </si>
  <si>
    <t>During our review, we noted the following gaps:
•The preparation date of reconciliation is not mentioned.
•Not approved by the treasury manager.</t>
  </si>
  <si>
    <t>•Take appropriate procedures to make sure that all bank reconciliations have preparation dates and get approved properly as per DOA.</t>
  </si>
  <si>
    <t>Low</t>
  </si>
  <si>
    <t>Procure to Pay / IT procurement</t>
  </si>
  <si>
    <t>Outdated policies and procedures</t>
  </si>
  <si>
    <t>1.During our review, we noted that the policies and procedures approved in 2017 need to be updated.</t>
  </si>
  <si>
    <t>•Management should update policies and procedures to align with the company’s strategy and objectives, which should be approved by relevant management and communicated to staff accordingly.</t>
  </si>
  <si>
    <t>Lack of budget or procurement plan</t>
  </si>
  <si>
    <t>It was noted that there is no budget or procurement plan for IT department’s procurements.</t>
  </si>
  <si>
    <t>•Management should contain the IT procurement budget along with the group budget.</t>
  </si>
  <si>
    <t>Absence of department DoA, organization structure, JD, and KPIs.</t>
  </si>
  <si>
    <t>During our review, we noted that:
•Absence of approved Delegation of Authorities (DoA).
•Approved department structure is not available.
•Job descriptions for key procurement staff were not developed and available for review.
•No KPIs are defined, approved, and communicated to key employees.
•Succession planning for key procurement staff was not developed and available for review.</t>
  </si>
  <si>
    <t>JD, DoA, and organization structure already sumitted.</t>
  </si>
  <si>
    <t>Weakness surrounding vendor management process.</t>
  </si>
  <si>
    <t>During the review of control over the vendor's transactions, we noted the following:
1.Despite a prolonged business relationship for over five years with the vendor providing database services (Nour Net), it was noted that there is no signed contract in place.
2.The contract with the outsourcing consultant responsible for network support is associated with one of the group subsidiaries (Medad Al Tajruba) and there is no SLA between the group and this subsidiary.</t>
  </si>
  <si>
    <t>•Initiate the formalization of contracts with all current vendors that the company deals with.
•Develop and implement a Service Level Agreement (SLA) between the group and the subsidiary (Medad Al Tajruba) or sign a new contract with the consultant by the group.</t>
  </si>
  <si>
    <t>response delay from NourNet on legal observations. To be signed end of Jan2026</t>
  </si>
  <si>
    <t>Deficiency in the Purchase Order process</t>
  </si>
  <si>
    <t>During the review of the Purchase Order (PO) transactions, we noted the following:
1.PO number 911615 exhibited a significant delay in initiation, taking 292 days from the Purchase Request (PR) date of 19 Aug. 2021 to the creation of the PO on 7 June 2022.
2.PO no. 911613 was initiated, and the invoice was received from the vendor before the corresponding Purchase Request was submitted.
3.For PO number 911611, it was noted that the contract date precedes the Purchase Order date. 
4.Some supporting documents were not attached or completed with the transactions as follows:</t>
  </si>
  <si>
    <t>•Set clear timelines to monitor and improve the efficiency of the procurement process.
•Ensure that Purchase Requests are submitted and approved before PO issuance and invoices are received from vendors. Consider implementing system controls to prevent such deviations and reinforce adherence to the prescribed procurement sequence.
•Ensure that Purchase Orders are generated before the establishment of contracts to prevent discrepancies that may lead to contractual issues.
•Implement measures to improve the completeness and accuracy of supporting documents for transactions. Implement a checklist or validation system within the procurement system to ensure that all required documents are attached and completed before finalizing transactions.</t>
  </si>
  <si>
    <t>Procurement</t>
  </si>
  <si>
    <t>Procure to Pay / Procurement</t>
  </si>
  <si>
    <t>Absence procurement structure</t>
  </si>
  <si>
    <t xml:space="preserve">During our review we found that the group lacks a dedicated procurement function, resulting in a decentralized process for procurement activities. Each department is independently responsible for managing its own purchases and fulfilling its unique requirements. The absence of a centralized procurement structure means that departments conduct procurement independently without standardized oversight or processes at the group level. </t>
  </si>
  <si>
    <t>•Establish a dedicated Central Procurement Function/Department with sufficient resources and authority.
•Integrate the function on an ERP or e-procurement system for visibility, control and compliance monitoring.</t>
  </si>
  <si>
    <t>COO</t>
  </si>
  <si>
    <t>Absence of procurement policies and procedures</t>
  </si>
  <si>
    <t>Our review of the procurement processes across the AAGH revealed an absence of formalized policies and documented procedures to govern procurement activities. Based on our review, there appears to be no standardized framework of policies, guidelines or standard operating procedures that provide structure and oversight for how procurement is conducted at the group level. 
•	Procurement policy - Outlining the purpose, objectives, roles and responsibilities of procurement function.
•	Sourcing and supplier selection policy - Guiding identification, evaluation and contracting of new suppliers.
•	Purchase requisition procedure - Standard process for departments to raise purchase requests.
•	Purchase order procedure - Guidelines for order placement, approvals, delivery and invoice verification.
•	Contract management procedure - Overseeing contract lifecycle from negotiation to closure.
•Tendering and bid management procedure - Standardizing RFP/RFQ processes.
•Payment process - Defining payment terms, methods and audit controls.
•Vendor performance evaluation procedure - Monitoring, evaluating and developing suppliers.
•Inventory management procedure (if any) - Guidance on stock levels, warehouse operations etc.
•Delegation of authority policy - Financial approval matrix for procurements.
•Policy change management procedure - Controls for modifying/updating policies over time.</t>
  </si>
  <si>
    <t>•Develop a procurement policies and procedures.
•Draft standardized SOPs for the critical procurement processes - requisition, purchase order, contract management etc.
•Establish a delegation of authority matrix specifying approval levels for procurements.</t>
  </si>
  <si>
    <t>Develop a procurement policies and procedures.
Draft standardized SOPs for the critical procurement processes - requisition, purchase order, contract management etc.
Establish a delegation of authority matrix specifying approval levels for procurements.</t>
  </si>
  <si>
    <t>Absence of an archiving system</t>
  </si>
  <si>
    <t>During our assessment of overall business processes, we observed that although archiving is a crucial function, there are no documented and sanctioned policies regulating archival operations and document organization at the company level. The absence of formally instituted standards for how records should be maintained, classified and retained indicates archiving activities may be conducted informally without consistent guidelines across departments. Considering the importance of archiving for legal/regulatory adherence, operational needs and organizational knowledge preservation, it is important for the company to make it a priority to establish an archival policies framework. A standardized set of archival policies would help bring structure, controls and governance to archive-related responsibilities company-wide</t>
  </si>
  <si>
    <t>•Develop an overarching Archival Policy.
•Establish document retention schedules specifying minimum retention periods by record type.
•Implement protocols for securely storing, accessing and retrieving archived documents.
•Establish procedures for properly disposing of records after retention periods.
•Migrate critical archived data to secure, access-controlled storage systems.
•Integrate search/retrieval capabilities for records into document management systems.
•Introduce records management software/solutions to optimize physical/electronic archives.</t>
  </si>
  <si>
    <t>we have sent the Archive policy to the Board for approval, and we are waiting for the approval to procure an archive system on 31/12/2024</t>
  </si>
  <si>
    <t>Facility</t>
  </si>
  <si>
    <t>Procure to Pay / Facility</t>
  </si>
  <si>
    <t>Absence of Approved policies and procedures for facility function</t>
  </si>
  <si>
    <t>During the review of the facility function, we noted the absence of approved policies and procedures to cover the facility activities and operations which should include but are not limited to the following areas:
•Facility management   
•Health and safety 
•Security management
•Applicable regulations and related compliance matters.</t>
  </si>
  <si>
    <t>Management should develop Facility policies and procedures that are in line with the company’s strategy and objectives and should be approved by relevant management and communicated to staff accordingly.</t>
  </si>
  <si>
    <t>Facility Department</t>
  </si>
  <si>
    <t>Absence of approved budget and variance analysis for facility function</t>
  </si>
  <si>
    <t xml:space="preserve">During our review of the facility operation, we noted that there is no approved budget related to the facility function, and hence no variance analysis is performed of actual against budgeted /planned maintenance. </t>
  </si>
  <si>
    <t>An annual designated &amp; approved budget for the facility function should be in place to cover offices and other fixed assets maintenance, and variance analysis should be performed on a periodic basis to ensure control and monitoring of maintenance expenses.</t>
  </si>
  <si>
    <t>No defined vendor selection process</t>
  </si>
  <si>
    <t>3.It was noted that there is no defined vendor selection process as there is no procurement department in the group. Such as the following transactions</t>
  </si>
  <si>
    <t>•Establish a formal supplier selection process, even if there's no dedicated procurement department. To enhance this process, the management should consider establishing a procurement department to develop and implement a formal supplier selection process.</t>
  </si>
  <si>
    <t>No municipal license for Group office</t>
  </si>
  <si>
    <t>The municipal license of the group is dependent on obtaining Al Yusr their license for the entire building first. Therefore, until Al Yusr finishes renewing their license, the group cannot obtain their municipal license. 
As of now, the group does not possess a municipal license due to the delay in Al Yusr's license renewal process.</t>
  </si>
  <si>
    <t>•Take the necessary action to expedite the issuance of the group’s municipal license.</t>
  </si>
  <si>
    <t>الرخصة مرتبطة بشركة اليسر</t>
  </si>
  <si>
    <t>Insurance</t>
  </si>
  <si>
    <t>Insufficient Competitive Bidding Due to Outstanding Insurance Debts</t>
  </si>
  <si>
    <t>As part of overseeing the annual insurance policy renewal process, the Insurance Department is tasked with gathering and evaluating proposals from multiple insurance providers. Their goal is to identify the most favourable options that meet the insurance needs of the Group.
The Insurance Department faced significant challenges in obtaining vehicle insurance proposals for the 2024 renewal period. Specifically, there were ongoing delayed payments from prior years' insurance dues owed by AlYusr and BTC subsidiaries.
These payment delays, as documented in the required loss ratio report (a critical document required by insurance providers to evaluate and submit quotations), adversely impacted both the number and quality of quotations received from insurers. Due to the delayed dues from AlYusr to many providers over the past year, the department was only able to secure two proposals for the 2024 vehicle renewal.
Obtaining fewer than the recommended minimum of three competitive quotes limits the Group's ability to thoroughly compare options and negotiate favourable terms. This could ultimately result in less optimal coverage or higher insurance costs compared to benchmark standards.
The Insurance Department included documentation of this issue in their Renewal Proposal Report submitted to Group management. The insurance manager had been actively engaging with the subsidiary management teams around the outstanding payment amounts owed and their wider implications for the Group.
Despite these follow-up efforts by the insurance manager, the concerned subsidiaries were not able to resolve the debts prior to the renewal process. The overdue amounts stemming from 2023 insurance dues remain unsettled as of the current date.</t>
  </si>
  <si>
    <t xml:space="preserve">1-Include insurance payables as a priority obligation in cash management procedures.
2-Enhance monitoring mechanisms to track payment timelines and compliance with insurance obligations, enabling proactive management of outstanding dues.
3-Establish clear guidelines and consequences for delayed payments to incentivize subsidiaries to prioritize settling insurance dues on time. </t>
  </si>
  <si>
    <t>Deprt. Head + COO + Subsidiaries CEO</t>
  </si>
  <si>
    <t>Lack of Service Level Agreements between Insurance Function and Group Subsidiaries/Departments</t>
  </si>
  <si>
    <t>Our review found an opportunity to strengthen relationships and accountability between the Group Insurance Department and its subsidiaries/Departments. Specifically, we noted the lack of formalized Service Level Agreements (SLAs) outlining key expectations and responsibilities. 
Establishing SLAs is considered a best practice for clearly defining the services to be provided, associated performance standards, roles of each group, and consequences for not meeting obligations. Without SLAs in place:
- Service requirements and accountabilities between the groups are not officially documented.
- Metrics are absent for measuring the quality and timeliness of services delivered. 
- Escalation protocols are not defined should issues arise that interrupt work processes.
We recommend developing SLAs that address the following minimum elements:
- Descriptions of all services to be provided by the Group Department 
- Expected service level targets to assess performance 
- Obligations and duties of each party
- Penalties or remedies in the event of non-compliance
- Process for routinely reviewing and updating metrics
- Escalation matrix for resolving interruptions promptly
Properly establishing SLAs will foster stronger partnerships and introduce greater transparency around roles, responsibilities, and performance standards across the functions.</t>
  </si>
  <si>
    <t>1-develop and implement Service Level Agreements (SLAs) with all subsidiaries and business units. These SLAs should clearly outline the services to be provided, expected service levels, metrics for performance measurement, responsibilities of each party, and remedies or penalties for non-compliance.
2-Escalation matrix for non-adherence to SLA should be incorporated within SLA. This escalation matrix should address delays in submitting requests from subsidiaries and include clear timelines, responsible parties, and consequences for non-compliance to ensure the timely processing of all operations.
3-The document should be approved as per DOA and circulated to all relevant stakeholders.</t>
  </si>
  <si>
    <t>Final draft under process.</t>
  </si>
  <si>
    <t>Noncompliance with insurance policy warranties</t>
  </si>
  <si>
    <t>To maintain coverage and receive benefits in case of a loss, insurance companies require policyholders of property all-risk policies to submit official documentation demonstrating adherence to the policy conditions. Not providing the necessary records could jeopardize the insured's eligibility for reimbursement from the insurer if an incident occurs during the coverage period.
1-	We observed that for the new policy initiated in March 2024, several required documents were not submitted by all subsidiaries until July 2024. These documents are typically required within a specific period (3 months) from the policy start date. Noncompliance with these requirements jeopardizes the company's ability to file claims in case of an accident and could lead to the cessation of insurance coverage, especially for critical documents such as the Civil Defence Certificate (Appendix No. 1).
Although the Insurance manager diligently followed up and escalated the matter to higher levels, the responses from subsidiary management, notably BTC, failed to sufficiently address the documentation requirements. The delayed compliance posed significant challenges to maintaining the Group's insurance protections and claims-handling capabilities.</t>
  </si>
  <si>
    <t>1-Develop and enforce a formal escalation process for overdue documents, with defined service level agreements (SLAs) and potential impact warnings for breaching SLAs.
2-Engage senior subsidiary leadership to emphasize the importance of compliance and make it a priority.</t>
  </si>
  <si>
    <t>Deprt. Head + COO</t>
  </si>
  <si>
    <t>Lack of insurance coverage</t>
  </si>
  <si>
    <t>Insurance is crucial for risk management as it helps mitigate potential financial losses through broad coverage. However, upon reviewing the insurance policies, our audit discovered certain coverage shortfalls that leave aspects of the business unprotected:
1.	General liability for AUM's operations has been absent for years, exposing the company to third-party liability risks in the event of an incident, as these activities are not sufficiently insured.</t>
  </si>
  <si>
    <t>1-Perform a holistic risk review for comprehensive coverage planning. 
2-Establish a centralized approach to decision-making regarding insurance coverage to ensure that all subsidiaries adhere to the company’s overall risk management strategy.</t>
  </si>
  <si>
    <t>Discrepancies noted in employees' insurance coverage versus CCHI stipulations</t>
  </si>
  <si>
    <t>The Council of Health Insurance Regulations (CCHI) stipulates that each individual can only hold one active health insurance policy. Upon reviewing the insurance coverage of the group’s employees and their dependents, we noted that 26 members have active insurance with other providers, and 4 members do not have active insurance in the CCHI system, despite the company having already paid insurance premiums for these members amounting to SAR 149,370 (Appendix No. 2).
The Insurance Department previously flagged these insurance discrepancies and notified HR to address the issue with affected employees. Despite these efforts, limited progress has been made in resolving the matter.</t>
  </si>
  <si>
    <t>1-Conduct a thorough review of all employees' and dependents' insurance policies to identify and resolve any remaining inconsistencies or discrepancies with CCHI regulations.
2-Work closely with HR and the affected employees to select a single insurer per individual as per the rules. Cancel duplicate policies immediately.
3-Ensure the 4 unregistered members' details are updated in the CCHI system to reflect their active coverage.</t>
  </si>
  <si>
    <t>Deprt. Head + COO + Subsidiaries HR</t>
  </si>
  <si>
    <t>Absence of department Organization structure and DoA.</t>
  </si>
  <si>
    <t>During our review, we noted that:
• The approved department structure for the Insurance department is unavailable, and the department is not part of the current approved group structure.
• Absence of approved Delegation of Authorities (DoA).</t>
  </si>
  <si>
    <t>1-Coordinate with Management in preparing Dept.Org. structure and DoA get them approved as per the authority matrix and communicate it to the staff.</t>
  </si>
  <si>
    <t>Noncompliance with approved Policies &amp; Procedures</t>
  </si>
  <si>
    <t xml:space="preserve">The department’s policy was newly approved in March 2024. A recent policy review identified a discrepancy between the department's policy and actual practice. Policy 4.1.4 mandates “Asset valuation should be a joint task process between the Finance and Insurance teams, with the exercise being led by the Insurance team”.  However, the Finance team has been independently conducting asset valuations, excluding the Insurance team. For example, in the all-risk policy, the Finance team included inventory for an under-construction GACO branch, valued at SR 21.5 million. This resulted in unnecessary insurance costs of SR 36,000 as the branch was not yet operational. </t>
  </si>
  <si>
    <t>1-Clearly define the roles and responsibilities of both teams in the assets valuation process to ensure collaboration and accuracy. Consider having both teams participate actively in the process rather than limiting the execution to the Finance department.</t>
  </si>
  <si>
    <t>Deprt. Head + Subsidiaries CFO</t>
  </si>
  <si>
    <t>Areas for Improvement Identified in Insurance Form Request Handling</t>
  </si>
  <si>
    <t>During our review of the insurance forms processing procedures, we noted some areas for improvement in the handling of addition, deletion, and change class requests. 
A.	During the review of the Vehicle request process, it was noted that subsidiaries do not utilize standardized forms to facilitate departmental functions. For instance, requests to add or remove vehicles from insurance policies are currently submitted via emails without a unified form. This variability in process documentation can potentially hamper operational efficiency. It may also make record-keeping challenging and hinder the effective tracking of insurance-related vehicle changes over time.
B.	When examining a sample of recently submitted medical insurance requests, we found the following:
1.	The change class request form does not capture the reason for the requested change. Understanding the rationale could help ensure the appropriateness of the change.
2.	None of the forms (addition, deletion, change class) include a field to document the name of the individual submitting and authorizing the request. Proper validation of request origination and approval is not fully facilitated without this information. 
3.	There were delays in adding or deleting employees due to late submissions from the HR department. (Appendix no. 3).</t>
  </si>
  <si>
    <t>1-	Develop and implement standardized forms for consistent use in all subsidiaries to enhance uniformity and efficiency in operations.
2-	Enhance the documentation requirements for insurance requests by clearly outlining the mandatory data and supporting documents needed for additions, deletions, and change class requests.
3-	Revise the addition, deletion, and change class request forms to:
•	Require all critical data fields to be completed
•	Include spaces for signatures/dates of submission and authorization
•	Capture the reason for change on “change class” requests
4-	Consider implementing an electronic forms system to automatically require completion of all fields and facilitate tracking/validating approvals.
5-	Develop a formal SLA outlining clear roles/responsibilities and steps staff must follow to process each type of request comprehensively.</t>
  </si>
  <si>
    <t>تم تحديث نماذج العمل وسيتم إغلاقها بتاريخ 31-03-2026</t>
  </si>
  <si>
    <t>Lack of standard Processes and templates for essential HR Policies</t>
  </si>
  <si>
    <t>1.	The Group updated its HR policy in September 2024, which was approved as per the Delegation of Authority (DoA). However, the revised HR policy does not comprehensively address several critical processes, including:
•	Procedures for the waiver of notice periods.
•	Employee retention initiatives.
•	The Group provides bonuses and incentives to employees as a reward for individual performance and contributions to the Group’s overall success. Bonuses were paid in 2023 and 2024 (6 and 7 million respectively); however, it was observed that there is no formal policy or documented framework governing the determination of bonus percentages or their allocation criteria.
•	The HR policy lacks specific provisions for loans outside the housing allowance framework, and the authority matrix does not outline the approval limits for exceptions such as personal loans and more than 6 months advance housing.
2.	Additionally, the updated policies lack standard templates for essential HR processes, which could support consistency and efficiency in execution.</t>
  </si>
  <si>
    <t>1-	Implement a Formal Framework for Bonuses and Incentives.
2-	Revise the HR policy to include a defined process for managing loans outside the scope of housing advances.
3-	Establish comprehensive, automated guidelines and standard operating procedures (SOPs) for critical HR processes.
4-	Develop standard templates and forms for essential HR processes.</t>
  </si>
  <si>
    <t>تم التوصية ببعض البرامج والسياسات، وبانتظار الاعتمادات التاريخ المستهدف 31-12-2026</t>
  </si>
  <si>
    <t>Enhancing the Security and Governance of the HR Information System -MenaME</t>
  </si>
  <si>
    <t>During our review of the HR department’s use of the “MenaME” information system, we identified the following weaknesses and areas for improvement:
1-	The IT department has full access to the HR system and can view employee data such as payroll details for all employees. The IT department imports this data and sends it to Finance to upload it into their system due to a lack of integration between the HR and Finance systems.
2-	The HR Manager and the HR employee share identical access rights and authority levels within the system, which does not ensure proper segregation of duties.
3-	The Finance Manager has a "view user" role in the system that allows access to all employees' personal information, which exceeds what is necessary for their role.
4-	The system lacks automated alerts for critical deadlines, such as Iqama expiry dates, relying entirely on manual tracking. While no unrenewed Iqama cases were identified, but this creates potential risks for future non-compliance.</t>
  </si>
  <si>
    <t>1-	Revise access controls to ensure employees have only the permissions necessary for their roles.
2-	Work towards integrating the HR and Finance systems to eliminate the need for manual data transfers. This will reduce the risk of data handling errors and enhance data security.
3-	Establish role-based access controls that limit the Finance Manager’s access to only the information necessary for his job function, ensuring compliance with data privacy standards.
4-	Develop and implement automated alerts within the system for critical deadlines, such as 3 months before Iqama expiry dates.</t>
  </si>
  <si>
    <t xml:space="preserve">Lack of Actionable Succession Plan for Critical Positions </t>
  </si>
  <si>
    <t>The HR department has developed and approved a new Succession Planning Policy in alignment with the Delegation of Authority (DoA). However, no actionable succession plans have been prepared or implemented for critical positions or any organizational level.</t>
  </si>
  <si>
    <t>Develop and implement a succession plan, with an action plan to identify and groom successors for critical positions, prioritizing high-risk areas.</t>
  </si>
  <si>
    <t>بانتظار المخرجات من الطرف الخارجي التاريخ المستهدف 31-12-2026</t>
  </si>
  <si>
    <t>NAT HR Department Handling Group Payroll</t>
  </si>
  <si>
    <t>Typically, the HR department is responsible for conducting the payroll process. However, during the audit period, the payroll for the entire Group was processed by the NAT HR department, rather than the usual responsible department.</t>
  </si>
  <si>
    <t>1-	Take the appropriate procedures to prepare and process the Group’s payroll through our HR personnel.
2-	Provide additional training and resources to the HR department to manage increased responsibilities effectively if required.</t>
  </si>
  <si>
    <t>Enhancement Needed for Female Employees' Work Facility</t>
  </si>
  <si>
    <t>A site review of the workplace allocated to female employees at the group’s premises revealed several concerns affecting the quality of the working environment:
•	Improper Storage: Outdated equipment is stored in the break and prayer room, reducing space intended for relaxation and religious practices.
•	Workspace Clutter: Desks are cluttered with additional equipment and materials, creating a visually disorganized environment and impacting employee comfort.
These conditions are not aligned with the requirements of Labor Law Article 158, which emphasizes the provision of a suitable working environment for employees</t>
  </si>
  <si>
    <t>Allocate or create a dedicated storage area for unused or outdated equipment to prevent clutter in employee work and break areas.</t>
  </si>
  <si>
    <t>تم نقل الموظفة المعنية ضمن بيئة العمل النسائية في قسم تقنية المعلومات في الدور الأول، 31-03-2026</t>
  </si>
  <si>
    <t>HR Policy Communication Gap</t>
  </si>
  <si>
    <t>It was observed that the updated HR policy and Grievance Procedures have not been communicated to employees, including HR staff. This lack of awareness and dissemination has hindered the implementation of these revised policies and procedures across the Group.</t>
  </si>
  <si>
    <t>Circulate the updated HR policies to all employees, with a particular focus on HR personnel, to ensure awareness and adherence.</t>
  </si>
  <si>
    <t>التواصل مع إدارة الحوكمة لتعميم السياسة في الربع الثاني من 2026</t>
  </si>
  <si>
    <t>Inconsistencies in HR System Calculations</t>
  </si>
  <si>
    <t>1.	The HR system calculates the provision for End of Service (EOS) benefits and vacation balances monthly based on the Labor Law and Group Policy. However, discrepancies were identified in these calculations, 
-	Vacations variances as of June 30th, 2024. These variances occurred because HR calculated the accrual based on the assumption that every month has 31 days for all group’s employees, while Aqar &amp; Memar's month’s days are 30)</t>
  </si>
  <si>
    <t>Conduct a Comprehensive Review and Audit of the HR System's Calculation Logic (parameters and formulas) to ensure alignment with Labor Law and Group Policy.</t>
  </si>
  <si>
    <t>النظام عاد للعمل بعد الحادثة وتمت ترقية النظام شهر فبراير وسنقوم بالتأكد من الملاحظة خلال الربع الثاني 2026</t>
  </si>
  <si>
    <t>Discrepancies in Implementation of New Health Insurance Policy</t>
  </si>
  <si>
    <t xml:space="preserve">1-	The new HR policy has two insurance categories only:
-	VIP for BoD, MD, and CXO 
-	Silver class A, for all other positions
</t>
  </si>
  <si>
    <t>1.	Update the insurance classes of the eligible employees, ensuring their benefits align with the policy, or update the policy to link the insurance class with the employee grade</t>
  </si>
  <si>
    <t>Discrepancies in Employee Grades and Approved Salary Scale</t>
  </si>
  <si>
    <t>The group has an approved salary scale; however, employee grades have not been defined and aligned with this scale. As a result, it is not possible to link the approved salary scale to the actual employee grades. Additionally, the Internal Audit function has not provided any benchmarking analysis or market research has been conducted to validate the competitiveness and fairness of the current salary scales within the industry and local market.</t>
  </si>
  <si>
    <t>Develop and implement a formal grading structure for employees that aligns with the approved salary scale. Ensure clear guidelines for assigning grades based on job roles, responsibilities, and qualifications.</t>
  </si>
  <si>
    <t>Non-compliance with Leaves policy</t>
  </si>
  <si>
    <t>Based on the new leave policy, “Annual leaves cannot be postponed or carried over to the following year except in specific cases, with HR being the sole authority to make such decisions: 
• Leave may be postponed upon the employee’s request, provided the employer gives written consent.
• Leave may be postponed if work circumstances require it, for a period not exceeding 90 days without the need for the employee’s consent. 
• If the postponement exceeds this period, written approval from the employee must be obtained.”
By reviewing the leave balance as of June 30th, 2024, we noted that 24 employees (representing 45% of the total employees) have accrued leave balances exceeding 60 days, with 9 employees having balances exceeding 120 days.</t>
  </si>
  <si>
    <t>1-	Establish clear procedures for managing excessive leave balances and implement necessary processes to prevent further accumulation.
2-	Implement a system for regular tracking and reporting of leave balances, with automated alerts for employees and their managers when balances exceed predefined thresholds.</t>
  </si>
  <si>
    <t>Weakness in control over Employee files</t>
  </si>
  <si>
    <t xml:space="preserve">After reviewing a sample of employee files, we noted the following:
1-	There is no established system for archiving employee files
2-	The hard copy files are stored in two cabins with broken locking mechanisms.
3-	These lockers are placed in a shared storage room used for IT hardware and files from other departments. (Refer to Appendix No. 2)
4-	All copies of the key to this room are held by an HR employee, which does not comply with best practices for securing sensitive information. </t>
  </si>
  <si>
    <t>1-	Adopt an HRIS (Human Resource Information System) to manage employee records securely and efficiently.
2-	Replace current lockers with lockable filing cabinets, ensuring that only authorized personnel have access.
3-	Relocate the storage area to a dedicated, secure space if possible.</t>
  </si>
  <si>
    <t>التاريخ المستهدف 31-12-2026</t>
  </si>
  <si>
    <t>Insufficient End of Service documentation</t>
  </si>
  <si>
    <t>The termination policy mandates that employees complete a clearance form signed by all relevant departments listed on the form and that End of Service (EOS) benefits are paid only after the final settlement form has been completed. During the review of EOS samples, we noted the following:
1.	The IT and Finance departments don't sign the Clearance form for all employees, the IT conducts their clearance through the ManageEngine system, while the Finance department sends an email with any dues on the employee.</t>
  </si>
  <si>
    <t xml:space="preserve">1.	Standardize the clearance process across all departments, ensuring the clearance form is completed and signed by all relevant parties.
2.	Explore with the IT department a system enhancement to integrate clearance and final settlement workflows, ensuring consistency, traceability, and automated reminders for pending approvals. </t>
  </si>
  <si>
    <t>التاريخ المستهدف 31-03-2026</t>
  </si>
  <si>
    <t>Discrepancies in the Business trip process</t>
  </si>
  <si>
    <t>The Business Trip Policy reimburses employees for related expenses, including travel tickets and daily allowances. However, during our review of business trip allowances, we noted the following:
-	Discrepancy in Calculating Allowances between the HR and Finance systems in calculating the trip period. For example, for employee no. GO10243 (business trip from 3rd June 2024 to 6th June 2024), the HR system calculated allowances for 3 days, while the Finance department processed reimbursement for only 2 days.
-	The employee no. GO10253 was not reimbursed for their 1-day business trip on 21st November 2023,
-	Non-compliance with Approval Process: Business trip approvals are required to follow the HR system workflow and must be obtained from an authorized person as per the Delegation of Authority (DoA). However:
•	For employee no. GO10243, approval was provided via email instead of the HR system.
•	For employee no. GO10253, the approval remains pending in the system.</t>
  </si>
  <si>
    <t>1.	Ensure synchronization between the HR and Finance systems to standardize calculations for business trip periods.
2.	Reinforce the importance of using the HR system for all approvals. And introduce automated alerts for pending approvals in the HR system.</t>
  </si>
  <si>
    <t>Concentration Risk and Gaps in Investment Diversification</t>
  </si>
  <si>
    <t>The approved investment plan for 2019–2024 outlines a diversified allocation strategy across various asset classes and sectors to mitigate concentration risk. A well-diversified investment portfolio is essential to reduce exposure to specific asset classes and enhance overall financial resilience. However, during our review, we identified significant gaps in the Group’s investment diversification strategy, increasing concentration risk:
1.	Diversification by Asset Classes:
•	The actual investment portfolio deviates substantially from the approved target allocation.
•	84% of total investments are concentrated in only two asset classes, creating excessive exposure to a limited range of assets.
•	This misalignment reduces portfolio resilience, increases susceptibility to market fluctuations, and heightens financial risk
2.	Diversification by Sectors:
Significant deviations from the set and approved maximum exposure limits exist. Notably:
•	Minimal or no investments have been made in seven approved sectors.
•	The construction investment in only three sectors (Automotive, Financing, and construction), indicates over-concentration and significantly increasing risk exposure to industry-specific downturns. 
3.	Diversification by Geographical Location:
The investment portfolio of Alissa Holding is not diversified by geographical location, deviating from the investment committee’s approved diversification plan.</t>
  </si>
  <si>
    <t>1.	Develop a Clear and Actionable Strategy to Address Over-Concentration Risk:
-	Establish a well-defined action plan within the new investment strategy to systematically reduce over-concentration risk.
-	Ensure the strategy is practical, measurable, and aligned with market realities, balancing risk mitigation with return optimization.
-	Implement a phased approach to gradually realign the portfolio while minimizing disruption to existing investments.</t>
  </si>
  <si>
    <t>Strategic</t>
  </si>
  <si>
    <t>Investment director
Top management</t>
  </si>
  <si>
    <t>Deviation from the approved diversification plan is due to funding constraints and loan repayment priorities, limiting target allocations. The group will update its investment strategy in 2025 with a third-party consultant to ensure proper diversification</t>
  </si>
  <si>
    <t>Outdated Comprehensive Exit Strategy and Criteria for Privet Equity Investments</t>
  </si>
  <si>
    <t>In 2019, investment department has an approved disposition plan exit criteria for a privet equity investment portfolio. However, a comprehensive exit criterion for underperforming Privet Equity investments is lacking. Our review identified the following key issues:
1-	Dividend Performance:
•	Two investee companies have not distributed any dividends since the investment’s inception.
•	Three investees' most recent dividend distributions were several years ago, indicating potential underperformance.
2-	Asset Valuation Declines:
•	The fair value of Gulf Ferro decreased significantly by 31%, from SAR 27.96 million in 2022 to SAR 19.29 million in 2023.
•	Bahrain Aluminium Extrusion Co. investment’s value based on Total equity in the last financial SR 1.15 million compared to SR 2.27 million as in group records with a 50% decline.
* This is before 2023 FS, our share from Total equity as per 2023 FS is SR 1.15 million.</t>
  </si>
  <si>
    <t>1-	Develop and implement a comprehensive exit strategy that covers all asset classes, including private equity along with other investments. This exit strategy should present clear criteria and milestones to ensure accountability and facilitate timely decision-making.</t>
  </si>
  <si>
    <t>We are waiting for the new strategy to update and solve the issue.</t>
  </si>
  <si>
    <t>Lacking Budgetary Allocation for Growth Initiatives</t>
  </si>
  <si>
    <t>The investment department has proposed a budget for 2024 that focuses primarily on maintaining existing investments and generating revenue from them. While this approach ensures a steady income stream, it neglects to allocate sufficient funds for new investment opportunities or participation in public market IPOs.
This lack of budgetary provision for growth initiatives could hinder the organization's ability to:
•	Capitalize on Emerging Opportunities
•	Diversify the Investment Portfolio
•	Enhance Long-Term Growth
•	Potential Loss of Competitive Edge</t>
  </si>
  <si>
    <t>1-	Develop a comprehensive investment budget with allocations for new opportunities and IPO participation.
2-	Set aside a dedicated portion of the budget for exploring and investing in new opportunities. This allocation should be flexible to accommodate emerging market trends and high-potential ventures.
3-	Review and optimize the allocation of resources to ensure that funds are directed towards the most profitable and high-potential areas. This may involve reallocating funds from underperforming assets to new investment opportunities.</t>
  </si>
  <si>
    <t>Group management has prioritized loan repayment to strengthen financial stability and reduce interest costs.</t>
  </si>
  <si>
    <t>Variances between target and actual returns</t>
  </si>
  <si>
    <t>By reviewing the overall investment portfolio performance for 2023 we noted that the group does not meet the planned target for the following certain KPIs:
KPI	Actual 2023	Target 2023	Variance
Income Yield	1.30%	3.10%	-1.80%
Loan to Value	109.60%	90%	19.60%
Debt to Equity	2.33x	1.60x	0.73x</t>
  </si>
  <si>
    <t>1-	Reassess asset allocation and diversify the portfolio to include more stable, income-generating investments.
2-	Implement more rigorous due diligence and performance tracking for new investments.
3-	Develop a structured plan to reduce leverage through asset sales or capital injections.
4-	Establish strict borrowing limits aligned with risk tolerance and strategic goals.
5-	Introduce tight controls on debt acquisition to avoid over-leverage scenarios.</t>
  </si>
  <si>
    <t>KPIs will be revised and updated with the new strategy.</t>
  </si>
  <si>
    <t>Discrepancy in Vehicle Registration</t>
  </si>
  <si>
    <t>By reviewing the vehicles in the fixed assets register, we noted the following:
1.	Discrepancy in Vehicle Registration: Out of the three vehicles listed in the asset register, only two are registered under the company’s name in "TAMM", the traffic system. The third vehicle could not be traced in the "TAMM" system, indicating a potential incorrect registration or documentation gap. And one of the vehicles registered in the "TAMM" system has no assigned user. This lack of accountability creates a risk of misuse or difficulty in tracking responsibility
2.	No maintenance logs exist for any vehicles, risking undetected mechanical/safety issues.</t>
  </si>
  <si>
    <t>•	Update fixed asset records to include all vehicles registered in the "Tamm" traffic system, ensuring accurate documentation of ownership.
•	Add an authorized user for each vehicle registered in the "Tamm" system to ensure responsibility for its usage.
•	Create a comprehensive record for tracking vehicle maintenance and ensure regular monitoring of maintenance activities.</t>
  </si>
  <si>
    <t>CFO</t>
  </si>
  <si>
    <t>HR Need to check in this quarter</t>
  </si>
  <si>
    <t>Delayed Zakat Payment Triggering Enforcement Actions by ZATCA</t>
  </si>
  <si>
    <t>Since 2019, the Group and its subsidiaries have been submitting their Zakat declarations on a consolidated basis. Prior to this change, the subsidiary Aqar and Memar submitted its Zakat declarations independently. The Zakat, Tax and Customs Authority (ZATCA) issued final settlement amounts for the years 2016, 2017, and 2018 totaling SAR 3,652,512. This amount became due in 2022.
Despite multiple communications from ZATCA in January and August 2023 reminding the company of the outstanding payment and warning of potential consequences, no action was taken. As a result, in October 2023, ZATCA imposed regulatory sanctions, including:
•	Freezing of Aqar and Memar's bank accounts
•	Level One Suspension on “Muqeem” services</t>
  </si>
  <si>
    <t>Settle the outstanding Zakat liability promptly to lift the current sanctions and restore the company bank accounts and Muqeem services.</t>
  </si>
  <si>
    <t>planned for 2026</t>
  </si>
  <si>
    <t>Inadequate Segregation of Duties in Journal Creation and Posting Activities</t>
  </si>
  <si>
    <t>The Finance system currently permits users to both create and post journal entries without adequate segregation of duties. Specifically, the Financial Manager and one of the accountants have the ability to post the journal entries they initiate. This arrangement undermines the principle of segregation of duties, which is a critical internal control designed to prevent and detect errors or fraud.</t>
  </si>
  <si>
    <t>•	Implement the segregation of duties principle in the financial system, ensuring that the creation and posting of journal entries are performed by separate individuals.
•	Have journal entries reviewed independently to detect any exceptions or unauthorized activities to ensure their accuracy.</t>
  </si>
  <si>
    <t>Budget vs Actual Cash Flow Variance Analysis Not Performed</t>
  </si>
  <si>
    <t xml:space="preserve">The Group’s Finance Department prepares and presents a quarterly report on the consolidated financial statements and the cash flow statement of the Group’s company. However, we noted the following gaps:
•	The cash flow report at the group company level “Stand Alone” does not include a variance analysis between actual and budgeted cash flows, as the budget and actual reports are presented separately in deferent sheet.
Best practices in financial reporting and management oversight require presenting actual vs. budgeted cash flows to enable effective performance monitoring and variance analysis. Additionally, consolidated cash flow reporting is critical for understanding the group’s overall liquidity position and for informed strategic decision-making.
the variance analysis till Sep. 2024 cannot be reported by the current two separate cash flow reports – Actual and Budget reports are separate file and don’t show the variances.
</t>
  </si>
  <si>
    <t>1.	Prepare and submit variance analysis between actual and budgeted cash flows at the group company level.
2.	Developing and presenting a consolidated cash flow report that reflects the overall financial position and liquidity of the group.</t>
  </si>
  <si>
    <t>Presented to the board</t>
  </si>
  <si>
    <t>Operating Lease Revenue Recognition Not Aligned with IFRS 16</t>
  </si>
  <si>
    <t xml:space="preserve">Observation:
As per IFRS 16, paragraph 81, a lessor is required to recognize lease income from operating leases on a straight-line basis or another systematic basis that is more representative of the pattern in which the benefit from the use of the underlying asset is diminished.
However, during our review of the Group’s lease records, we observed that lease revenue from certain long-term operating leases is being recognized based on actual rental payments stipulated in the lease contracts, rather than on a straight-line basis or an alternative systematic method as required by the standard. 
</t>
  </si>
  <si>
    <t>•	Reassess all operating leases booked to ensure lease revenue is recognized in accordance with IFRS 16 requirements.</t>
  </si>
  <si>
    <t>the amortized income is matching with the signed contracts</t>
  </si>
  <si>
    <t>Weaknesses in Fixed Assets Management</t>
  </si>
  <si>
    <t>The total cost of the fixed assets in the group amounted to over SR 60 million. After reviewing and analyzing the fixed assets register, we noted the following:
1.	Lack of Periodic Physical Verification: A physical verification of fixed assets is a fundamental control measure to ensure the accuracy and reliability of financial records. However, it was noted that a comprehensive physical count of fixed assets has not been conducted for over three years. 
2.	Issues Identified in the Asset Register: Our review of the fixed assets register revealed several notes regarding old or potentially non-existent assets, as shown in the following table:
-	Outdated and Old Assets Potentially Non-existent: Assets older than 15 years remain in the register, many of which are likely obsolete or no longer in use. (These assets are fully depreciated)	SR 21.58	 
-	Leasehold Improvements for Previous Rented Office: Fully depreciated leasehold improvements related to a former rented office are still recorded.	SR 3.84	
-	Incomplete ERP Project Costs: Costs associated with an unfinished ERP implementation (Oracle) remain in the register without proper disposal or impairment assessment. (These assets are fully amortized)	SR 9.08	
-	Subsidiary Assets Booked in our Records: IT assets and software belonging to a subsidiary (BTC), including CarPro and Oracle systems, are recorded in the company’s asset register. (These assets are fully amortized)	SR 5.68	
-	Low-Value Items in Fixed Assets: A total of 506 items, each with a cost of less than SR 1,000, such as keyboards, mouse devices, laptop batteries, and RAMs, remain capitalized. These items typically fall under consumables and should not be capitalized as fixed assets.	SR 0.20	
3.	Inconsistent Barcode System: Physical barcodes affixed to assets do not match the codes recorded in the asset register, indicating a lack of integration between the physical tracking system and accounting records.
4.	Unclear Asset Categorization: Several assets are grouped under a generic category labeled "Miscellaneous" rather than being properly classified into standard asset categories, impairing asset tracking and reporting.
5.	Lack of User Assignment: Portable assets, particularly laptops, are not assigned to specific users, increasing the risk of misuse and weakening accountability and asset tracking.</t>
  </si>
  <si>
    <t>1.	Prepare a policy for physical assets verification and perform the count accordingly.
2.	Conduct a full physical count of all fixed assets and reconcile with the asset register.
3.	Write off and update the Asset Register: Identify and remove obsolete or non-existent assets from the register after necessary approvals.
4.	Review capitalization policies to expense low-value items.
5.	Transfer or derecognize subsidiary assets from the company's books to ensure accurate asset ownership.
6.	Standardize Barcode System: Align physical asset barcodes with the system records and implement routine tagging protocols for new assets.
7.	Improve Asset Categorization: Reclassify all assets under the correct asset types to enhance visibility and control.
8.	Assign Assets to Custodians: Implement a procedure for asset assignment to specific users.</t>
  </si>
  <si>
    <t>Need to make phisical count and update the register in 2nd Quarter</t>
  </si>
  <si>
    <t>Unreconciled and Stagnant Related Party Account Balances</t>
  </si>
  <si>
    <t>The Finance Department maintains old and unreconciled balances in related party accounts that have remained unmoved for several years, as below:
Account number	Account Name	Balance
101070106	Retail Receivables	50,000 
201030102	Other Accrual – Isuzu Project Payable – June 2022	(442,713)</t>
  </si>
  <si>
    <t>1-	Initiate a comprehensive review and reconciliation process for all related accounts.
2-	Engage with relevant stakeholders (e.g., legal, shareholders, affiliates) to investigate the nature of each balance and determine appropriate actions (e.g., settlement, write-off, reclassification).</t>
  </si>
  <si>
    <t>SR 442K is still active ac</t>
  </si>
  <si>
    <t>Weaknesses in the Archiving Process</t>
  </si>
  <si>
    <t>A portion of financial records is transferred to an off-site archive, but there are no formal procedures governing who is responsible for tracking archived documents.
The other portion of hard copy files is archived in the group office, which is stored in uncoded boxes in a shared storage room with old IT equipment, and access to this storage with other department personnel.
Additionally, for soft copy archiving, not all attachments related to journal entries are uploaded to the ERP system, leading to incomplete digital documentation, for example, JE # BR-GHQ-JE-24-100, BR-GHQ-PI-24-234, BR-GHQ-PR-24-382, and BR-GHQ-PI-24-70.</t>
  </si>
  <si>
    <t>•	Develop archiving procedures and ensure all attachments are uploaded to the Archiving system promptly for full and accurate documentation.
•	Label boxes to identify its contents.
•	Restrict storage room access to authorized Finance personnel only.
•	Segregate financial records from non-financial items.</t>
  </si>
  <si>
    <t xml:space="preserve">plannned for archive system </t>
  </si>
  <si>
    <t>Discrepancy in Depreciation Rates</t>
  </si>
  <si>
    <t xml:space="preserve">We identified inconsistencies in the application of depreciation policies for assets within the same category. As in the below:
Assets Type	Depreciation Rates
Laptop	3 Years - 18 Months*
Printers 	1,2, &amp; 4 Years
Miscellaneous	3,4, &amp; 5 Years
Laptops are being depreciated over 18 months, which is significantly shorter than the standard useful life applied to similar IT equipment.
Depreciation rates recorded in the financial system do not align with the rates disclosed in the financial statements. </t>
  </si>
  <si>
    <t>•	Define and document clear useful lives for each asset category.
•	Align depreciation rates in the financial system with those used in financial statements.</t>
  </si>
  <si>
    <t>2025 Finance report will be update as per ststem rate. System rate are updated</t>
  </si>
  <si>
    <t>Absence of Delegation of Authority Framework for Operational-Level Activities</t>
  </si>
  <si>
    <t>The Group has developed a Delegation of Authority (DoA) Matrix that effectively covers high-level and key tasks. However, no detailed Delegation of Authority framework exists to govern operational-level activities.</t>
  </si>
  <si>
    <t>1-	Create a detailed Delegation of Authority framework that outlines specific operational-level tasks, responsibilities, and decision-making authorities for various roles within the organization.
2-	Clearly delineate roles and responsibilities within the framework to eliminate ambiguity and ensure that all employees understand their authority and accountability.
3-	Create standardized approval processes for operational decisions, specifying who has the authority to approve various actions and transactions.</t>
  </si>
  <si>
    <t>All required forms have been sent, except for those related to Audit Committee members.</t>
  </si>
  <si>
    <t>Lack of Formal Tracking Mechanism for Board Committee Resolutions</t>
  </si>
  <si>
    <t>While a documented action log exists to monitor the implementation status of the Directors’ resolutions, there is no similar register or log tracking mechanism in place for the resolutions or recommendations issued by Board Committees.</t>
  </si>
  <si>
    <t>1-Establish a formal action log/register to record all committees’ resolutions and track their implementation status.
2-Assign responsibility to the committee secretariat or governance officer for maintaining and regularly updating the log.
3-Integrate the log into periodic reporting to the Board for oversight purposes.</t>
  </si>
  <si>
    <t>Gaps in Conflict-of-Interest Disclosure and Nomination Forms</t>
  </si>
  <si>
    <t xml:space="preserve">
As part of the Group’s Governance manual, all nominated Board and Committee members are required to complete and sign a standardized Nomination form and disclosure form to declare any actual or potential conflicts of interest. However, our review revealed that not all committee members have completed or signed the required forms, as outlined below:</t>
  </si>
  <si>
    <t>Ensure all members complete the nomination and conflict disclosure forms as per the manual. And monitor compliance and maintain updated records.</t>
  </si>
  <si>
    <t>Board Secretary
Corporates Governance</t>
  </si>
  <si>
    <t>جاري العمل على إكمال النماذج من الأعضاء</t>
  </si>
  <si>
    <t>Absence of Consolidated Attendance Report for Board and committees</t>
  </si>
  <si>
    <t>An approved annual meeting schedule for the Board of Directors and committees exists; however, no consolidated attendance report has been prepared. Instead, attendance is only reflected within individual signed meeting minutes.</t>
  </si>
  <si>
    <t>1-Develop a consolidated annual attendance report for all Board and committee meetings.
2-Include attendance percentages for each member and highlight any recurring absences.</t>
  </si>
  <si>
    <t>Absence of a Centralized Digital Archiving Solution</t>
  </si>
  <si>
    <t>The availability, accessibility, and validity of documentation are critical to ensuring effective and legally compliant operations across the Group Company. However, we noted that there is currently no centralized digital archiving system implemented to manage and safeguard documents across all departments within the Group Company, including the Legal function.
The system should cover all processes of document control, such as: 
-	DoA for system users, 
-	A tracker to trigger renewal of all documents with a validation date, such as official licenses and contracts.</t>
  </si>
  <si>
    <t>1.	Implement a comprehensive, centralized digital archiving system that encompasses all departments, including the Legal Department. The system should include the following key features:
•	Defined Delegation of Authority (DoA): Clearly define user roles and access rights to ensure secure document handling and accountability.
•	Automated Document Renewal Alerts: Implement tracking mechanisms that automatically notify responsible parties of upcoming expiration or renewal dates for key documents (e.g., licenses, contracts, permits).
•	Ensure the implemented system safeguards the group's interests.</t>
  </si>
  <si>
    <t>Chief Shared Services Officer (CSSO)</t>
  </si>
  <si>
    <t>Implement a centralized digital archiving system for all departments with clear access controls (DoA), automated renewal alerts for key documents, and safeguards to protect the group’s interests.</t>
  </si>
  <si>
    <t>Deficiencies in Contract Management Log</t>
  </si>
  <si>
    <t>The Legal Department has initiated the implementation of contract log procedures to centralize and control of company contracts. The company’s departments are responsible for completing the required information and providing the legal department with the original signed contracts. The contract log review revealed process deficiencies in the contract management log. 
Key Issues Identified due to the lack of a standardized input process:
1.	Incomplete Archiving and Contract Accessibility:
•	Only 4 of 17 sampled contracts were available for review.
•	Most contracts, particularly soft copies, have not been archived or shared with the Legal Department.
2.	No regular update to the log, as there are Fifty-five (55) contracts, representing 53% of total contracts, that have expired end dates; their status remains “Active”. 
3.	The departments do not complete contract data: Several fields have high percentages of missing data:
•	Legal Review Status: 73.1% left blank.
•	Renewal Status: 30.8% left blank.
4.	The storage information should be more precise: 
•	17 contracts (16.3%) have no storage location specified.
•	86 contracts (82.7%) have generic storage locations (HQ).
5.	There are duplicates in 5 contracts.</t>
  </si>
  <si>
    <t>1.	Implement a standardized process for data input requirements into the Contract Management log. 
2.	Enforce Contract Archiving Protocols, requiring all departments to submit the signed hard copies of contracts to the Legal Department for centralized storage.
3.	Coordinate with the IT department to establish a main shared folder with subfolders for each department to upload their soft copy contracts.
4.	Create clear procedures for the Group Departments to periodically update the master Contract Log (Monthly or with each change) to validate accuracy and completeness.</t>
  </si>
  <si>
    <t xml:space="preserve">Standardize data input requirements for the Contract Management log and enforce centralized archiving through submission of signed hard copies to the Legal Department and establish a shared </t>
  </si>
  <si>
    <t>Absence of External Legal Engagement Policies</t>
  </si>
  <si>
    <t>During our review of the Legal Department’s policy, and due to the absence of a centralized procurement department and procedures. The Legal Department does not have a standardized procedure for the engagement of external legal counsel. This includes the absence of clear guidelines for:
•	Selection and hiring criteria
•	Performance evaluation mechanisms
•	Terms of engagement and renewal processes</t>
  </si>
  <si>
    <t>1-	Develop A comprehensive External Counsel Engagement Procedure that establishes standardized steps for selecting, evaluating, renewing, and terminating external legal advisory.</t>
  </si>
  <si>
    <t>1- Develop A comprehensive External Counsel Engagement Procedure that establishes standardized steps for selecting, evaluating, renewing, and terminating external legal advisory.</t>
  </si>
  <si>
    <t>Lack Of Cyber Security Governance</t>
  </si>
  <si>
    <t>Cybersecurity governance controls are essential for managing cybersecurity risks and ensuring compliance with regulations and filling the gaps in cybersecurity strategic direction, policy development, risk management, compliance oversight, leadership engagement, and continuous improvement. 
The delay in establishing cybersecurity governance leads to serious consequences for AAGH. The IA noted that AAGH has not yet established a formal cybersecurity governance framework according to the National Cybersecurity Authority (NCA) Essential Cybersecurity Controls (ECC).
However, upon review of the Cybersecurity structure, we found:
1)	Absence of important elements of the Cyber Security Governance Framework, such as:
1)	Policies and Procedures.
2)	Risk Management process and framework.
3)	Cybersecurity risk appetite and risk tolerance framework.
4)	Threat Intelligence management Policy.
5)	Cyber security controls within the cloud computing policy.
2)	As per the current organizational structure, the cybersecurity position is directly reported to the information technology manager. The cybersecurity function should be independent from the information technology function to avoid any conflict of interest. The cybersecurity function and information technology function should have separate reporting lines, budgets, and staff evaluations.
3)	The cybersecurity position is still vacant since the new organizational structure was approved.</t>
  </si>
  <si>
    <t>1)	Establish and implement a cybersecurity governance framework aligned with NCA ECC and international standards, ensuring its inclusion (Policy and Procedure, Risk Management, etc.). 
2)	Assign clear roles and responsibilities and ensure regular oversight by senior management.
3)	The cybersecurity section should be separated from the IT department and report directly to top management.</t>
  </si>
  <si>
    <t>CS management</t>
  </si>
  <si>
    <t>As recommended, Cybersecurity should not be reporting to IT department. Hence, AAGH management has to decide the implementation date and responsibility.</t>
  </si>
  <si>
    <t>Absence of Cybersecurity Awareness Program</t>
  </si>
  <si>
    <t xml:space="preserve">Cybersecurity threats aim to target systems, operations, and increasingly, people. Technological defenses, such as firewalls and endpoint detection continue to advance; the human element remains a common entry point for attackers. 
Moreover, according to the latest Version of the Data Breach Investigations Report, human factors—such as error, negligence, or malicious actions play a role in most data breaches. Therefore, continuous awareness is necessary to highlight the seriousness of vulnerabilities and how to take security measures.
According to the IA observation, there is an absence of a cybersecurity awareness program for employees, third party contractors, and customers. </t>
  </si>
  <si>
    <t>1)	The cybersecurity awareness programs should be defined, approved, and conducted to promote cybersecurity awareness and to create a positive cybersecurity culture.
2)	The activities of the cybersecurity awareness program should be conducted periodically and throughout the year.
3)	The cybersecurity awareness program should be evaluated to measure the effectiveness of the awareness activities.</t>
  </si>
  <si>
    <t>Currently, IT is circulating some of CS awareness on weekly base, and it should be handled by CS department once it is established.</t>
  </si>
  <si>
    <t>Weakness In Firewall Security Management</t>
  </si>
  <si>
    <t>As networks become increasingly complex and cyber threats continue to evolve, firewall management has become more critical than ever for organizations. However, managing them can be a complex and challenging task for IT and security teams. 
AAGH has multiple firewalls and more than 38 site locations. It’s a challenge for security management to maintain consistency in security across different branches. During review, IA noted that:
1)	Absence of a formal document governing the opening ports process, the approval is done by the IT manager and implementation by the Sr. System engineer without a formal security evaluation process.
2)	Inadequate firewall security for certain open ports services, such as (ftp-ssh).
3)	Absence of web filtering controls for public cloud storage websites, the existing rules set just for malware, phishing, and open for cloud storage websites such as https://www.dropbox.com, https://www.mediafire.com, https://www.dropbox.com, https://www.wetransfer.com.
4)	Lack of security control for enabling messaging protocols (WhatsApp – Gmail - snapchat).
5)	Inadequate document control for firewall and router infrastructure such as previous configuration done, opening port, enabling services, and giving permission for access like VPN.
6)	Weakness in firewall high availability (HA) for some branches. In firewall design, all main branches had only one firewall configured, except (Nour net) data center and AAGH HQ.
7)	Lack of regular firewall and router configuration backup for all AAGH branches.
8)	Lack of security control for end-of-life support for many switches.
9)	Inadequate implementation of segregation of duties SOD, as the Sr. System engineer has user admin in firewall roles and responsibilities.
   (Appendix No. 1)</t>
  </si>
  <si>
    <t>1)	Develop and approve a formal request document for the Port and services opening Procedure, including security evaluations. 
2)	Conduct a risk-based review of all open ports to identify and assess the necessity of each open port, especially high-risk ones like FTP and SSH.
3)	Deploy web filtering tools to monitor and control access to public cloud storage platforms.
4)	Restrict and monitor messaging traffic.
5)	Establish a document control policy and define standards for document creation, review, approval, versioning, and archiving.
6)	Implement High Availability firewalls architecture design with redundancy (e.g., failover clusters, load balancers, replicated databases) to ensure continuous operation.
7)	Define and conduct firewall and router configuration backups and update the retention period policy.
8)	Prioritize the upgrade or replacement of EOL switches based on criticality and risk exposure.
9)	Remove Sr. System engineer permission from firewall management and implement Segregation of Duties (SOD) policy by defining and enforcing role separation.</t>
  </si>
  <si>
    <t>Sr. Network Eng.</t>
  </si>
  <si>
    <t>1) &amp; 2) &amp; 9) CS responsibility.
3) &amp; 4) &amp; 5) &amp; 6) &amp; 7) &amp; 8) &amp; 9) IT
Requires investment</t>
  </si>
  <si>
    <t>Inadequate Active Directory Security Controls</t>
  </si>
  <si>
    <t>Active Directory is the centralized system that authenticates and authorizes access to the network. AAGH has 7 Active Directory servers across its IT infrastructure. The Active Directory system has been in use for a long time, and over the years, malicious actors can exploit vulnerabilities in the system. Additionally, vulnerabilities make it very easy for hackers to steal or obtain user credentials, thereby granting them access to sensitive data. 
During the review of Active Directory security, we observed the following: 
1)	Inadequate management of Active Directory users for employees who have left, as there are two accounts for retired employees still enabled in the AAGH domain.
Employee ID	Employee Name	End of work	Status
BD30077	غازي ناصر غازي العتيبي	12/06/2025	انتهاء العقد
GO10251	فهد عبدالله ال دحيم	30/09/2024	نقل إلى فرع آخر
2)	Inadequate document control and data archive for the old data, many organizational units (OUs) folders without details about the data inside and ownership.
3)	Absence of active directory essential reports such as last login, last failure attempt, and last change. 
4)	Absence of active directory audit policies implemented related to changing, privilege use. 
(Appendix No. 2)</t>
  </si>
  <si>
    <t>1)	Conduct periodic active directory reviews to identify and disable inactive accounts.
2)	Generate regular reports for Active Directory, such as last login date, failed login attempts and Last password change.
3)	Enable advanced audit policy configuration.</t>
  </si>
  <si>
    <t>CS department should conduct the periodic review, and IT department will implement the required changes if any.
Native AD does not have this feature, third party SW POCs in progress and sample reports will be submitted to IA for evaluation to proceed with procurement. 
Required minimum audit policies are already enabled, any recommended policies can be enabled ongoing.</t>
  </si>
  <si>
    <t xml:space="preserve">Inadequate Security Control for Workstation Devices </t>
  </si>
  <si>
    <t>In today’s digital landscape, protecting endpoint devices such as laptops and other connected devices is becoming more sophisticated and harder to detect. Endpoint security controls serve as essential safeguards to protect these devices from malware, ransomware, and unauthorized access. 
AAGH has implemented Symantec Endpoint Protection to safeguard servers and workstations (computers &amp; laptops) from malicious threats. During the review, we observed the following: 
1)	Weakness in security controls for free or trial software used, such as Acrobat pro, WinRAR.
2)	Inadequate encryption, BitLocker drive encryption is not enabled.
3)	Microsoft support and updates will stop for 156 endpoint devices running the Windows 10 operating system after 14 Oct 2025, which may create security threats. 
(Appendix No. 3)
End of support for Windows 10, Windows 8.1, and Windows 7 | Microsoft Windows</t>
  </si>
  <si>
    <t>1)	Define clear procedures for evaluating, approving, and using free or trial software, and ensure security and legal review before installation.
2)	Apply BitLocker encryption to laptops, desktops, and servers that support it.
3)	Upgrade all Windows 10 workstation devices to Windows 11 to get support and updates before 14 of Oct 2025.</t>
  </si>
  <si>
    <t>1)	CS has to develop the procedure, evaluate and approve, then IT will implement.
2)	IT will implement upon business impact assessment.
3)	In progress.</t>
  </si>
  <si>
    <t xml:space="preserve">Weaknesses in Data Connectivity Encryption    </t>
  </si>
  <si>
    <t>Encryption-based Internet security protocols provide a high degree of privacy by encrypting data transmitted across the web. This means that anyone who tries to intercept this data will only see a garbled mix of characters that are nearly impossible to decrypt which depend on the encryption level.
During the review of network cybersecurity, IA noted some critical systems have an expired certificate such as:
1)	Cyber panel domain hosting for TeleFinity http://93.127.195.82:8090
2)	TeleFinity Calling system https://10.20.16.98:8030
3)	Nutanix backup server in BTC http://10.4.1.4:9440
4)	Nutanix VBR-proxy appliance http:// 192.1.1.105 
5)	Carpro http:// 10.9.5.38
6)	Kerridge http:// 192.1.1.6(Appendix No. 4)</t>
  </si>
  <si>
    <t>1)	Implement SSL/TLS across all critical Services.
2)	Use strong key Encryption Standards.
3)	Monitor and track certificate expiration dates and automate renewal processes.</t>
  </si>
  <si>
    <t>Sr. System Eng.
IT Procurement.</t>
  </si>
  <si>
    <t xml:space="preserve">1)	Will be implemented where it is applicable.
2)	Will be implemented where it is applicable.
3)	Monitory is already applied, automation of renewal isn’t applicable due to procurement process. </t>
  </si>
  <si>
    <t xml:space="preserve">Weakness In Application Security </t>
  </si>
  <si>
    <t>Application security is important for any organization handling customer data, as data breaches pose significant risks. Implementing a strong application security program is crucial to mitigating these application security risks and reducing the surface of the attack.
During the audit of application security measures, several critical deficiencies have been identified:
#	Applications	Multi-Factor Authentication
MFA	NDA	High
 availability	license	Password complexity	Regular
Permission Review	Security Assessment	Full Support for New 
Customization
1	kerridge	r	a	a	a	a	r	r	r
2	CarPro	r	a	a	a	r	r	r	a
3	MenaMe	r	a	a	a	r	r	r	a
4	Mange engine	r	a	r	r	r	r	r	r
5	Telefinity	r	a	r	a	a	r	r	a
6	Oracle system	r	a	a	a	a	r	r	r
1)	Lack of multi-factor authentication for critical business applications (Carpro, Kerridge, MenaMe, TeleFinity), MFA is important for secure network authentication.
2)	Lack of security assessment evaluation for critical business applications hosted in AAGH data centers (NourNet, BTC, and others).
3)	Weakness in the software version license upgrade for Mange engine (expired in 2021), Kerridge very old version 8.35 (2009).
4)	Inadequate data migration for Karridge and CarPro (now purchase license just for historical data used. The invoice amount for Karridge is more than 11,205 SAR and for CarPro 85,101 SAR yearly). (Appendix No. 5)</t>
  </si>
  <si>
    <t>1)	Implement and enforce MFA for systems handling sensitive data.
2)	Establish a security Assessment Program, define a schedule for assessments (e.g., quarterly, annually) based on application criticality.
3)	Update or release, software without upgrades 
4)	Develop a data migration strategy and create a clear plan for migrating data from legacy systems to modern platforms, ensuring minimal disruption and data integrity.</t>
  </si>
  <si>
    <t>Sr. System Eng.
IT Manager</t>
  </si>
  <si>
    <t>1)	Will be implemented where it is applicable.
2)	CS department task.
3)	In progress.
4)	We will coordinate with Business and define the plan
Requires investment</t>
  </si>
  <si>
    <t>Inadequate Cybersecurity Controls for TeleFinity Call Center System</t>
  </si>
  <si>
    <t>AAGH has enhanced the customer experience by implementing an intelligent Call center solution (TeleFinity). The system is a web interface, multi privileges users have access features, AAGH use the system for AUM, Auto star, and Jac. The system is stable and runs on two platforms.
During IA review the call center management system identified:
1)	Lack of password security management, the password is plain text. 
2)	Absence of Multi-Factor Authentication (MFA) for TeleFinity system.
3)	Lack of baseline security access management related to vendor access, system user is registered by vendor e-mail sysadmin@apeirosys.com, which was for beginning implementation stage and is still used. 
4)	Absence of Test environment. The system is running, implementing the changing and customization in production environment.
5)	Lack of high availability service design (HA) for the TeleFinity system.
(Appendix No. 6)</t>
  </si>
  <si>
    <t>1)	Enforce Password Policies by using encrypted and strong passwords (length, complexity).
2)	Apply MFA to the TeleFinity system.
3)	Modify vendor profile ID information using @alissa-group.com email rather than sysadmin@apeirosys.com.
4)	Establish a dedicated test environment.
5)	Design and implement a high availability service HA architecture to ensure continuous availability and consider clustering, load balancing, and failover mechanisms</t>
  </si>
  <si>
    <t>Sr.Application specialist &amp; application specialist</t>
  </si>
  <si>
    <t>1)	Will check with vendor and update.
2)	Will check with vendor and update.
3)	Changes will be implemented.
4)	We will apply.
5)	We will check with vendor.
Requires investment</t>
  </si>
  <si>
    <t xml:space="preserve">Inadequate Cybersecurity Requirements for Email Administration </t>
  </si>
  <si>
    <t>AAGH used Email system Microsoft 365 for more than 500 licenses across all AAGH networks, involves a range of tasks to ensure the smooth operation and security of email systems. The system is multi-factor authentication (MFA) and integrated with active directory domain controller.
Moreover, Email validation in Microsoft 365 decrease phishing attacks, spam, and email spoofing. It ensures that incoming emails are from legitimate sources, reducing the risk of malicious emails reaching users’ inboxes.
IA notes some gapes in email system administration such as:
1)	Alert function not configured for all processes such as: Quarantine notifications, Large Data downloads, external file sharing and Privilege Escalation.
2)	Inadequate regular reports implemented with defined criteria depend on high risk. 
3)	Absence of email Data Leak Prevention DLP. 
(Appendix No. 7)</t>
  </si>
  <si>
    <t>1)	Enable and configure alerting functions for important processes.
2)	Enable and configure schedule automated reports at defined intervals (e.g., daily, weekly, monthly) to highlight the risk area.
3)	Deploy a data leak prevention tool that monitors and controls outbound email traffic for sensitive content.</t>
  </si>
  <si>
    <t>Sr. System Eng.
Infra. Manager</t>
  </si>
  <si>
    <t>1)	AITD will assess and deploy.
2)	Will check with Microsoft for deployment.
3)	Planned in the IT Road map during 2026.</t>
  </si>
  <si>
    <t xml:space="preserve">Lack of Vulnerability Management </t>
  </si>
  <si>
    <t>Vulnerability management is the continuous and repeatable process that provides an organization with an understanding of the weaknesses in IT infrastructure. It’s the process by which IT identifies, analyzes, and manages IT and cybersecurity vulnerabilities, and it is key in planning for and choosing the controls that best address and manage risk.
During our review of vulnerability management across AAGH infrastructure, we found:
1)	Absence of vulnerability scanning tools, AAGH has a huge IT infrastructure that needs identifying, classifying, and reporting vulnerabilities that are present in applications, networks, and other digital assets. 
2)	Absence of periodic vulnerability scans by independent third party to check vulnerabilities in critical systems such as Nutanix environment, operating system (OS), Active directory, software applications.</t>
  </si>
  <si>
    <t>1)	Implement and Deploy vulnerability Scanning Tools.
2)	Conduct schedule vulnerability assessment for applications security risks like SQL injection, cross-site scripting (XSS), broken access control, outdated security patches, and many other common vulnerabilities and exposures.</t>
  </si>
  <si>
    <t>Sr. Network Eng</t>
  </si>
  <si>
    <t>Planned in the IT Road map during 2026.
Requires Investment</t>
  </si>
  <si>
    <t xml:space="preserve">Lack of Privileged Access Management Tools </t>
  </si>
  <si>
    <t>Modern cyberthreats present new challenges, creating an environment where traditional security measures alone are insufficient. organizations face sophisticated adversaries who leverage advanced technologies and techniques to cause disruptions. Threat actors and hackers increasingly exploit human vulnerabilities and system weaknesses rather than relying on traditional automated attack methods.
AAGH started to update and renew their IT infrastructure in network components and equipment but still needs more measures to adopt best practices cybersecurity monitoring and detective technologies. During our audit, we identified critical absence of important tools must be implemented such as:
1)	Privileged Access Management tools (PAM) identity security solution that helps protect AAGH IT infrastructure against cyberthreats by monitoring, detecting, and preventing unauthorized privileged access to critical resources. PAM works through a combination of people, processes, and technology.</t>
  </si>
  <si>
    <t xml:space="preserve">1)	Implement and Deploy Privileged Access Management PAM Solution to manage and monitor privileged accounts.
2)	Enforce Least Privilege Principal Limit access rights for users to the bare minimum needed to perform their job. </t>
  </si>
  <si>
    <t>Sr. Network Eng.
Infra. Manager</t>
  </si>
  <si>
    <t xml:space="preserve">Lack of Cybersecurity Requirements for Mobile Devices Security Management </t>
  </si>
  <si>
    <t xml:space="preserve">Mobile Device Management (MDM) solution designed to empower enterprise workforce with the power of mobility and set of practices that involve enrolling, managing, monitoring, updating, securing and troubleshooting mobile devices such as smartphones, tablets, laptops, etc, in both LAN and WAN, from a central location.  
During our review of workstation device security management IA noted that:
AAGH laptops contain huge data for AAGH without any grantee of data loss management. A comprehensive MDM platform allows admins to remotely wipe sensitive data within seconds after a device goes missing. </t>
  </si>
  <si>
    <t>1)	Implement and deploy an enterprise-grade Mobile Device Management MDM platform.</t>
  </si>
  <si>
    <t>Weaknesses in IT Organization Structure Roles Responsibilities</t>
  </si>
  <si>
    <t>The objective of an organization structure audit is to focus on ensuring that the structure supports effective governance, risk management, and operational efficiency. As part of the governance concept, critical role in the organization structure is essential to the operation, strategy, and future success.
During the review of the organization structure, IA noted:
IT organization structure is limited in capacity, the nature of AAGH IT infrastructure is to share network connectivity for AAGH and all subsidiaries. Unassigned employees for key positions below 
Key Positions	Current Status
Infrastructure supervisor	Vacant
IT director	Vacant
Support desk supervisor	Vacant
Sr. cybersecurity specialist	Vacant
1)	Single point failure for Sr. network engineer, Sr. system engineer. Recently, there has been no Infrastructure supervisor or backup engineer for these positions.</t>
  </si>
  <si>
    <t>1)	Assign employees for critical vacant positions.
2)	Develop a formal succession plan for key IT roles to reduce dependency on individuals.</t>
  </si>
  <si>
    <t>IT Manager</t>
  </si>
  <si>
    <t>Planned in the IT Road map during 2026.</t>
  </si>
  <si>
    <t>Inadequate Incident Response Readiness</t>
  </si>
  <si>
    <t>Incident response is a critical component of the strategic approach to managing and addressing incidents effectively by swiftly identifying, containing, and eradicating threats. Incident response encompasses various stages including preparation, detection, analysis, containment, eradication, and recovery.
IT Incident Management process is involved in AAGH IT security policy, and IT management uses Manage Engine helpdesk ticketing and classify incident types without complete incident workflow processes.
IA notes some gaps in incidents Management Response Readiness:
1)	Absence of Incident approved response plan (IRP) to outlines how an AAGH IT prepared for detects, responds and recovers.
2)	Lack of incidents workflow process in mange engine system for stability and reliability.
3)	Absence of standardized incident reporting to capture essential details, including the nature of the incident, involved parties, and immediate actions taken. 
(Appendix No. 8)</t>
  </si>
  <si>
    <t>1)	Create formal Incident Response Plan (IRP).
2)	Establish an Incident Response Team (IRT).
3)	Design and implement a standardized incident workflow in Manage Engine system.
4)	Enhance incident response capabilities by investing in training programs and simulation exercises, enabling a swift and effective reaction to incidents.
5)	Enhanced reports templates that include incident type, impact, root cause, resolution time, and lessons learned. And establish periodic reporting.</t>
  </si>
  <si>
    <t>IT Manager
Infra. Manager</t>
  </si>
  <si>
    <t>1)	AITD will develop the IRP and IRT.
2)	Manage Engine is planned for re-implementation in 2026.</t>
  </si>
  <si>
    <t xml:space="preserve">Inadequate SLA Management </t>
  </si>
  <si>
    <t>Effective service level agreement (SLA) management is essential for ensuring that outsourced services, particularly cloud-based and third-party services, meet the required standards of performance, availability, and responsiveness. 
Inadequate clearly defined performance metrics, regular monitoring, and accountability frameworks can affect IT services quality, AAGH are unable to assess vendor performance for IT services provided by vendors accurately or take corrective actions when service levels fall short. 
During the audit we noted that:  
1)	 Inadequate SLA Performance Measuring KPI.
2)	 Lack of periodic performance reports for SLA Monitoring.</t>
  </si>
  <si>
    <t>1)	Develop and implement specific KPIs to measure performance, such as delivery times, quality standards, and compliance rates.
2)	Utilize automated tools to continuously monitor SLA performance, ensuring real-time tracking and reporting</t>
  </si>
  <si>
    <t>IT Proc. Officer
IT Manager</t>
  </si>
  <si>
    <t xml:space="preserve">This observation can be managed within the upcoming ERP and Manage Engine implementation. </t>
  </si>
  <si>
    <t>Absence of Annual IT Procurement Plan and Budget Verification Controls</t>
  </si>
  <si>
    <t>The annual procurement plan is essential to allocate resources and prioritize procurement activities effectively. During the review of the IT procurement process, the following issues were identified:
1-	No annual procurement plan has been established for the fiscal year 2025, resulting in unstructured and potentially uncontrolled procurement activities.
2-	100% of the purchase orders reviewed in the sample (83% of total purchases) were issued without any comparison against an allocated budget, suggesting that no corresponding procurement budget has been established or enforced.
3-	The current purchase order process and supporting system do not include a mandatory control to verify budget availability prior to issuing a PO for a requested item.</t>
  </si>
  <si>
    <t>1-	Establish a comprehensive annual procurement plan based on departmental needs and strategic goals. This plan must be linked to and approved as part of the annual budget cycle.
2-	Implement system-enforced budget availability checks. The purchase order system should be configured to require a mandatory budget availability check before a PO can be submitted or approved. Any request exceeding the available budget should be automatically escalated for management approval or returned to the requester.</t>
  </si>
  <si>
    <t>AITD</t>
  </si>
  <si>
    <t>1. The procurement plan will be prepared and released for management approval.
2. Budget control is not available in the current financial system. Will be implemented in the new Group ERP.</t>
  </si>
  <si>
    <t>Weak Governance over Shared IT Procurement Arrangements</t>
  </si>
  <si>
    <t>The Group's IT department serves as the central provider of a broad range of shared IT services for subsidiaries and affiliates, undertaking shared procurement activities on their behalf to leverage economies of scale and standardization. A review of the governance framework surrounding these shared IT procurement activities identified the following control deficiencies:
1-	Absence of documented policies and procedures to govern the process of: 
•	Allocating the budget of these shared procurements, 
•	Pre-approval of purchases, 
•	Reimbursing IT shared procurements among the Group and its beneficiary entities. 
2-	Lack of formal agreements (e.g., intercompany or procurement participation agreements) with beneficiary entities to define: 
•	Roles and responsibilities 
•	Cost-sharing structures 
•	Approval authorities 
3-	No defined escalation protocols or dispute resolution mechanisms to address issues arising from procurement activities, such as: 
•	Delays in procurement execution 
•	Disagreements over cost allocations 
•	Vendor performance concerns</t>
  </si>
  <si>
    <t>1-	Develop and implement a formal IT shared services governance policy. This policy should govern all aspects of intra-group IT service delivery, cost budgeting, allocation, and reimbursement framework.
2-	Develop and execute formal intercompany procurement agreements with all participating entities, clearly outlining roles and responsibilities, and cost allocation principles
3-	Establish escalation and dispute resolution mechanisms, including: a defined escalation hierarchy, resolution timelines, documentation, and tracking of issues.
4-	These agreements should be reviewed, negotiated, and signed with each subsidiary and affiliate receiving shared IT services.</t>
  </si>
  <si>
    <t>1.	This can be fulfilled by building a formal SLA between AITD and Affiliates.
2.	SLA has been drafted and submitted to top management for coordination. (points 2,3,4)</t>
  </si>
  <si>
    <t>Control Weaknesses Over the Procurement Process</t>
  </si>
  <si>
    <t>A review of procurement transactions within the audit sample revealed deficiencies in the purchase approval process and its reflection in the procurement system:
1-	12 transactions (75% of the sample) were executed or paid without evidence of documented purchase approval.
2-	13 transactions (81% of the sample) remained in an "Approval in Process" status within the procurement system at the time of review, despite the underlying purchases having already been executed or settled, reflecting a disconnect between system records and actual transaction activity.</t>
  </si>
  <si>
    <t>1-	The procurement system must be configured to prevent any purchase order from being issued, sent to a vendor, or processed for payment until all required final approvals are obtained according to the approved delegation of authority matrix. This should be an integrated and mandatory step in the PO workflow.
2-	Instead of manual reviews, the system should automatically update POs status based on the actual phase. The system should prevent the PO from proceeding to the next stage without one of these actions being taken by the authorized person.
3-	Activate automated alerts within the system to notify both the requester and senior management if a purchase order remains pending for a predefined period (e.g., 72 hours). This ensures timely action and accountability.</t>
  </si>
  <si>
    <t>1.Applying DOA should be part of procurement dep. Processes. However, since IT procurement is being handled by concerned dep. AITD will take into consideration the approved DOA starting from 7/4/2026. In addition, this will be implemented in the new ERP. (points 1,2,3)</t>
  </si>
  <si>
    <t>Absence of Essential Supporting Documents</t>
  </si>
  <si>
    <t>Proper supporting documentation is essential to substantiate financial transactions and ensure the accuracy, completeness, and legitimacy of accounting records. During our review of payment and journal entry samples, we identified several transactions that were processed and recorded without adequate or complete supporting documents to justify the nature, purpose, and approval of the expenditures or accounting treatments.
Specifically, the following deficiencies were noted:</t>
  </si>
  <si>
    <t>1-	All financial transactions are supported by complete and appropriate documentation before processing and recording.
2-	Payments and journal entries lacking mandatory supporting documents are not processed unless formally approved with documented justification.
3-	Procurement and petty cash transactions comply with quotation and invoicing requirements as per company policy</t>
  </si>
  <si>
    <t>Finance department</t>
  </si>
  <si>
    <t>1.Most financial transactions have adequate documentation; however, we started to require the department concerned to submit complete supporting documents prior to processing any payments.
2.All payments are made with proper approval from the authorized level and are supported by the required documentation. However, in such cases where supporting documents are unavailable, formal justification must be provided and retained for record purposes.</t>
  </si>
  <si>
    <t>Lack of Procedures for Multiple Quotation Requests</t>
  </si>
  <si>
    <t>Obtaining multiple quotations is a key control that helps ensure the Company receives competitive pricing for the requested service or goods. During the review of payment vouchers and journal entries, it was noted that several transactions were processed without complete multiple vendor quotations.</t>
  </si>
  <si>
    <t>1-	Establishing and enforcing clear procedures requiring the collection and retention of multiple quotations (or documented justification for exceptions) before transactions are approved and before processing payments.</t>
  </si>
  <si>
    <t>We will circulate a formal memo to all departments stating that each department who is responsible for its own purchases shall request more than one quotation, and that payments lacking this requirement cannot be processed.</t>
  </si>
  <si>
    <t>Long-Outstanding Accrual Balance</t>
  </si>
  <si>
    <t>Accruals are intended to recognize expenses that have been incurred but not yet billed and should be reversed once the related invoices are received. During our review of the Telephone &amp; Fax accrual account, we noted that the accrual balance has been rolled forward year over year and has remained largely unchanged since 2022. There was no documented justification or supporting analysis to explain the continued retention of this balance or to demonstrate that it represents valid unbilled expenses. The table below the accrual balance from 2022 to date compared with the total expense during the year.</t>
  </si>
  <si>
    <t>1-	Perform a detailed review of the Telephone &amp; Fax accrual to determine whether the balance represents valid unbilled expenses.
2-	Reverse any amounts that are no longer supportable or applicable.</t>
  </si>
  <si>
    <t>We stopped recording any new accrual related to phone expenses and will exhaust and clean out the available accrual balance.</t>
  </si>
  <si>
    <t>subcompany</t>
  </si>
  <si>
    <t>email</t>
  </si>
  <si>
    <t>Finding released during current Year</t>
  </si>
  <si>
    <t>Planned Closure Year</t>
  </si>
  <si>
    <t>PlannedClosure Quarter</t>
  </si>
  <si>
    <t>Actual Closure Year</t>
  </si>
  <si>
    <t>Actual Closure Quarter</t>
  </si>
  <si>
    <t xml:space="preserve">Closing Period </t>
  </si>
  <si>
    <t>IA Responses</t>
  </si>
  <si>
    <t>BTC</t>
  </si>
  <si>
    <t>Used Cars</t>
  </si>
  <si>
    <t>Used Cars Sales Follow-up Report</t>
  </si>
  <si>
    <t xml:space="preserve">Absence of updated and approved policy &amp; procedures. </t>
  </si>
  <si>
    <t>Updated policy &amp; procedures for governing the Used Cars Sales process should be developed and approved by the Board.</t>
  </si>
  <si>
    <t>Used Car Manager</t>
  </si>
  <si>
    <t>Q4</t>
  </si>
  <si>
    <t>Closed</t>
  </si>
  <si>
    <t>-</t>
  </si>
  <si>
    <t>The policy and procedures have been developed and it is under the approval from the higher management</t>
  </si>
  <si>
    <t>No independent evaluation for Used Cars pricing.</t>
  </si>
  <si>
    <t>Used cars ready for sale should be evaluated by an independent authority (such as Sheikh AlMared) in order to determine the minimum selling price.</t>
  </si>
  <si>
    <t>Q2</t>
  </si>
  <si>
    <t>Several cars were displayed at Al-Tameer Company (International Auction), which is a specialized company that organizes car auctions in its own yard, but the prices we received from them are less than expected and less than the value of the cars that the department sells directly to customers.</t>
  </si>
  <si>
    <t>Absence of adequate procedures to communicate potential customers for used car auctions.</t>
  </si>
  <si>
    <t>Customers should be notified through official channels such as company website, newspapers, emails and company social media platforms. Usage of WhatsApp application should be prohibited for such purposes. Following should be included in intimation;
1. List of cars to be sold with min. price for bidding
2. Last date for bidding and expected bid opening date
3. Minimum of 3 sealed bid is required to form sale committee</t>
  </si>
  <si>
    <t>The fastest and easiest way to communicate with customers is chosen to reach the largest segment of them (company account on Twitter - Facebook - direct e-mails to customers - Business WhatsApp) - and work is still in progress using commercial WhatsApp due to a large segment of customers requesting to communicate with them in this way for easy access to information and communication through it only to inform about auction to them</t>
  </si>
  <si>
    <t>Customer Quotations without sealed envelopes for bidding process.</t>
  </si>
  <si>
    <t>Quotations should be obtained from companies by using sealed envelopes. These envelopes should be opened in the combined presence of all Used Car Committee members that is formally formed.</t>
  </si>
  <si>
    <t>This issue will be discussed with the management and work on it. Target Date: 31-Jan-2021</t>
  </si>
  <si>
    <t>No Segregation of duties in place for UCS Sales process</t>
  </si>
  <si>
    <t>The CEO must form an independent formal Committee with minimum 3 members from different departments (Finance, Operations and Legal). Strictly ensure full attendance to open sealed envelope and select best price sales</t>
  </si>
  <si>
    <t>The session minutes mechanism is determined by the CEO</t>
  </si>
  <si>
    <t>Repeat participation (sales concentration) of 6 buyers for used cars during FY 2016 through FY 2019.</t>
  </si>
  <si>
    <t>It is recommended to set a maximum number of cars sold in each transaction (30 cars) and a maximum sale value (2 million SAR) in order to open the scope for new customers.</t>
  </si>
  <si>
    <t>Due to the increase in the used vehicles inventory, the number of cars has been increased in each auction list with the knowledge of the management , and it is not possible to reach the required monthly target with this number of (30) cars for each auction list</t>
  </si>
  <si>
    <t>No arrangement with Group companies such as Autostar for display and selling of used cars from BTC.</t>
  </si>
  <si>
    <t>An arrangement should be made with Autostar for display and selling of used cars from BTC in order to enhance sale to individuals</t>
  </si>
  <si>
    <t>A contract has been made with Autostar dated 14/09/2020 for the display and selling of 557 units of used cars amounting to 57,701,000 SAR out of which 453 vehicles have been sold during 2020.</t>
  </si>
  <si>
    <t>Inadequate documentations for sale transactions</t>
  </si>
  <si>
    <t>Used Car Sales Committee minutes, price offers received from customers and any other important documents should be filed and maintained for at least 5 years.</t>
  </si>
  <si>
    <t>All documents related to the sale process are kept starting from the list of cars prepared for auction, price offers submitted by customers, approval of the sale approved by the management, payment, invoices, delivery note and the sale contract.</t>
  </si>
  <si>
    <t>Business Development &amp; Sales</t>
  </si>
  <si>
    <t>Spot Rental Agreements Report</t>
  </si>
  <si>
    <t>Back-date closing of Spot Agreements</t>
  </si>
  <si>
    <r>
      <t xml:space="preserve">8 Spot rental agreements were identified as </t>
    </r>
    <r>
      <rPr>
        <sz val="11"/>
        <color rgb="FF000000"/>
        <rFont val="Aptos"/>
        <family val="2"/>
      </rPr>
      <t>Closed in back dates resulting manipulation of 412 rental days amounting to SR 45,506 of rental losses</t>
    </r>
  </si>
  <si>
    <t>System controls/restrictions and necessary enhancements in CarPro to be  configured to avoid such incidents in future.
Disciplinary actions against the involved employees must be taken by the Management.
Subsequent recovery of rental loss amounts from relevant employees to be made.</t>
  </si>
  <si>
    <t>Head-Business Development</t>
  </si>
  <si>
    <t>Appropriate actions were taken by the Management as per audit recommendations</t>
  </si>
  <si>
    <t>Year-end Vehicle Stock Count</t>
  </si>
  <si>
    <t xml:space="preserve">There is no documented instructions given to the Exit 18 branch personnel upon maintenance of stock </t>
  </si>
  <si>
    <t>Management should develop stock maintenance instructions and disseminate to all related personnel to ensure consistent and effective operations.</t>
  </si>
  <si>
    <t>We will prepare and submit the Exit 18 instruction documents duly approved by management as per agreed timeframe.</t>
  </si>
  <si>
    <t xml:space="preserve">There is no documented policies or practices followed to perform recurring cycle count process </t>
  </si>
  <si>
    <t>Warehouse department must define policies and procedures for all its activities performed at Warehouse locations.</t>
  </si>
  <si>
    <t>We will prepare procedures for periodic vehicle physical count which will be performed by the operation team on periodic basis</t>
  </si>
  <si>
    <t>UPS backup not available in the Exit 18 branch</t>
  </si>
  <si>
    <t>Management should ensure that frequency &amp; timelines to be defined and adhered for physical count on periodic basis.</t>
  </si>
  <si>
    <t>Contract for Exit 18 Branch will be expiring shortly and we are in search of new facility with all necessary amenities. However, in case we continue the same then will coordinate with facility for said requirement</t>
  </si>
  <si>
    <t>No Emergency lights available at the branch</t>
  </si>
  <si>
    <t>Management must facilitate the Exit 18 Lease branch with uninterrupted power supply by setting up power backup systems to ensure smooth functioning of operations.</t>
  </si>
  <si>
    <t>We have installed Emergency lights in the Exit 18 Branch and is functional now</t>
  </si>
  <si>
    <t>There were no suitable vehicle stocks maintained at Exit 18 branch for replacements to customers and no replacement policy in place</t>
  </si>
  <si>
    <t>Management should ensure that adequate vehicles must be available in standby for replacements against repair &amp; maintenance of customer vehicles.</t>
  </si>
  <si>
    <t>We will update the system status of vehicles on a real-time basis while transferring from Exit -18 to Janadriyah yard (operations)</t>
  </si>
  <si>
    <t>Non-availability of proper storage cabinets for vehicle keys and documentations.</t>
  </si>
  <si>
    <t>Management should installed key cabinets and filling cupboards for safe keeping of vehicle keys and warehouse documents respectively.</t>
  </si>
  <si>
    <t>We have segregated all vehicle keys by client wise and stored in cabinets installed in a separate room</t>
  </si>
  <si>
    <t>It was observed that there were no Security Guards available in Exit 18 branch</t>
  </si>
  <si>
    <t>Security Guards must be hired to protect company’s property and staff by maintaining a safe and secure environment.</t>
  </si>
  <si>
    <t>We will coordinate with Facility dept. to check the feasibility of hiring security guards for Exit 18 branch</t>
  </si>
  <si>
    <t xml:space="preserve">There is no documented instructions given to the warehouse personnel upon maintenance of stock </t>
  </si>
  <si>
    <t>We will prepare and submit the warehouse instruction documents duly approved by management as per agreed timeframe.</t>
  </si>
  <si>
    <t>UPS backup not available in the warehouse</t>
  </si>
  <si>
    <t>Management must facilitate the warehouse facility with uninterrupted power supply by setting up power backup systems to ensure smooth functioning of operations.</t>
  </si>
  <si>
    <t>We will coordinate with Facility dept. for adequate electricity backup if feasible</t>
  </si>
  <si>
    <t>No system connectivity available to update the vehicle movement (Inward/Outward) in warehouse</t>
  </si>
  <si>
    <t>Management must equip the warehouse with system connectivity by providing access to CarPro (Operation module)
All vehicle movements like Inward &amp; Outward must be recorded simultaneously along with physical movements</t>
  </si>
  <si>
    <t>There is a daily status of  the used car Inventory and it is matched between actual inventory with CarPro by Head office UCS dept. However, we will discuss the feasibility &amp; productivity of providing system access to warehouse</t>
  </si>
  <si>
    <t>We will coordinate with Facility dept. to provide storage cabinets for safekeeping of vehicle keys</t>
  </si>
  <si>
    <t>It was observed that there were no Fire systems and CCTVs monitoring available in Janadriyah yard</t>
  </si>
  <si>
    <t>CCTV cameras, smoke detectors, security alarms systems and Electricity backups must be installed and regularly checked to ensure they are in working order, readily accessible and faults, if any, are reported and dealt with accordingly.</t>
  </si>
  <si>
    <t>We will coordinate with Facility dept. to provide CCTV monitoring and fire systems.</t>
  </si>
  <si>
    <t>No perpetual stock count being performed by warehouse</t>
  </si>
  <si>
    <t>Management should define procedures for perpetual inventories and ensure adherences.
Periodic reviews to be conducted from Used Car Department to ensure process being followed.</t>
  </si>
  <si>
    <t>We will instruct the warehouse in-charge to perform perpetual inventory on weekly basis.</t>
  </si>
  <si>
    <t>It was observed that there was no systematic arrangement of vehicles by Bay numbers linked to location.</t>
  </si>
  <si>
    <t>Due to high volume of vehicles parked in the Janadriyah yard, it is highly recommended to organize vehicles through systematic arrangement like introducing Bay numbers &amp; locations linked to Make, Model, status, etc. 
Designated locations for vehicles to be formed within warehouse with special type &amp; categories.</t>
  </si>
  <si>
    <t>We will coordinate with Facility dept. to make necessary arrangement in warehouse as recommended.</t>
  </si>
  <si>
    <t>Maintenance</t>
  </si>
  <si>
    <t>Shortages and Excesses of Spare Parts or Materials have been identified</t>
  </si>
  <si>
    <t>Management should ensure that proper tracking mechanism of Inward/Outward of all materials to be maintained.
 Management should ensure all shortages/excesses highlighted to be identified on priority &amp; reconciled with system stocks.</t>
  </si>
  <si>
    <t>Maintenance Manager</t>
  </si>
  <si>
    <t>We are reconciling all shortages and excesses along with Finance year end count and will update the status within agreed timeframe</t>
  </si>
  <si>
    <t xml:space="preserve">There is no documented instructions given to the Workshop personnel upon maintenance of stock </t>
  </si>
  <si>
    <t>Currently we have only tires and batteries in small amount. We are planning to have a warehouse upon opening our new workshop, once we open this then we can arrange written instructions.</t>
  </si>
  <si>
    <t>UPS backup not available in the workshop</t>
  </si>
  <si>
    <t>Management must facilitate the workshop facility with uninterrupted power supply by setting up power backup systems to ensure smooth functioning of operations.</t>
  </si>
  <si>
    <t>Maintenance department must define policies and procedures for all its activities performed at Workshop locations.
Management should ensure that frequency &amp; timelines to be defined and adhered for physical count on periodic basis.</t>
  </si>
  <si>
    <t>We will make procedure to count physically on a monthly basis once we open our new workshop and have our warehouse</t>
  </si>
  <si>
    <t>We will arrange once we open our new workshop and have our warehouse.</t>
  </si>
  <si>
    <t>No Emergency lights available at the Workshop facility</t>
  </si>
  <si>
    <t>Management must facilitate the Riyadh Workshop with emergency lighting system  which can be functional during power failures</t>
  </si>
  <si>
    <t>We will coordinate with Facility dept. to install emergency lights at workshop</t>
  </si>
  <si>
    <t>Projects</t>
  </si>
  <si>
    <t>Project Business</t>
  </si>
  <si>
    <t>Absence of Investment Governance</t>
  </si>
  <si>
    <t>The total investment in current running contracts is around SAR. 298 million. During our review, we noted that preliminary planning for the projects, pricing and bidding lacks the followings:
 Business plan/strategy;
 SWOT Analysis;
 Investment approval as per authority matrix;
 Exit strategy.</t>
  </si>
  <si>
    <t>At the time of planning for any new project requiring significant investment, management should prepare and approve as per authority matrix the followings:
Business plan/strategy;
SWOT Analysis, Exit strategy;
Investment approval.</t>
  </si>
  <si>
    <t>CEO</t>
  </si>
  <si>
    <t>Q1</t>
  </si>
  <si>
    <t>There is a tender committee at Head Office for new projects/contracts, which analyzes, prepares &amp; provides all the information and or strategies required for any new contract(s)</t>
  </si>
  <si>
    <t>Absence of approved Policies and Procedures for the Project</t>
  </si>
  <si>
    <t>we noted that project charter, comprehensive and approved policies and procedures covering all functions/sub processes of the project operations are not in place. Such policies may include (but are not limited to) areas relating to:
 Pricing, Invoicing and client service
 Replacements
 Fleet control/transfers
 Maintenance
 Manpower
 Administration and Govt. affairs
 Complaint handling.
 Transfer pricing</t>
  </si>
  <si>
    <t>Comprehensive policies and procedures manual should be developed, approved, implemented and updated on periodic basis.</t>
  </si>
  <si>
    <t>Project Manager,
Organization Support</t>
  </si>
  <si>
    <t>- All operational processes are handled in the project site in accordance with the set general contract conditions between the Chevron and contractors, including labor, transportation, maintenance, forms for quarterly performance evaluations. However, management will develop specific operational related policies and procedures for project that should be in line with the contract and head office policies.
- Other policies, such as project pricing needs to be developed as part of the BTC head office policies.</t>
  </si>
  <si>
    <t>Violation of approved Authority Matrix</t>
  </si>
  <si>
    <t>During our review of purchases executed for Khafji project, we noted that certain POs are not approved as per requirements of Authority matrix</t>
  </si>
  <si>
    <t>Management must comply approval requirements as per Authority matrix.</t>
  </si>
  <si>
    <t>Procurement Manager</t>
  </si>
  <si>
    <t>The deviation stated by IA is a one-time occurrence during the previous management. Current management is Appling authority matrix with due care and all actions shall be in accordance with the Authority Matrix.</t>
  </si>
  <si>
    <t>Absence of approved Organization structure, Job Descriptions and KPIs.</t>
  </si>
  <si>
    <t>1. During our review, we noted that organizational structure for the projects provided to us is not approved as per current authority matrix.
2. Job description for the key projects employees is not approved as per current authority matrix and there is no succession planning for key employees.
3. No KPIs are defined, approved and communicated to key employees of the projects.</t>
  </si>
  <si>
    <t>Management should prepare the followings, get it approved as per authority matrix, and communicate it to the staff:
 Organization structure showing clear reporting lines;
 Job description, succession plan and KPI for key employees.</t>
  </si>
  <si>
    <t>Org. structur, JD &amp; KPI's</t>
  </si>
  <si>
    <t>COO &amp; CEO</t>
  </si>
  <si>
    <t>Recently, BTC have approved a new Organization Chart, Including Projects. As for Job Descriptions, please refer to the attached JD for Khafji and Kuwait Project Manager, including his KPIs.
Additional JDs for 1st line of projects manager reporting function, Project organizational chart and succession plan shall be created and provided to IA accordingly.</t>
  </si>
  <si>
    <t>Absence of performance monitoring of the Project</t>
  </si>
  <si>
    <t>We noted that there is inadequate performance management mechanism and reporting for the project. The following important reports are not prepared and submitted to management for periodic review of the project performance.
1. Budgets and variance analysis;
2. Monthly /quarterly Profit and loss of project</t>
  </si>
  <si>
    <t>Periodic performance monitoring reports for the projects must be prepared and submitted for management review and actions.</t>
  </si>
  <si>
    <t>Finance Manager</t>
  </si>
  <si>
    <t>Finance shall furnish P&amp;L report and variance analysis for each Line of Business and segment on quarterly/monthly basis, including projects.</t>
  </si>
  <si>
    <t>Absence of Petty Cash Governance</t>
  </si>
  <si>
    <t>1. Absence of Petty Cash Approval
2. Excessive petty cash limits
3. High value expenses paid through petty cash
4. Absence of standard Permitted Petty Cash Expenses</t>
  </si>
  <si>
    <t>Management should develop a comprehensive petty cash policy establishing minimum and maximum petty cash limits, authorization process, permitted expenses and it must be approved as per authority matrix and applied accordingly.</t>
  </si>
  <si>
    <t>Overall BTC policies in Head Office is applicable for the Projects. However, there are certain unique situations where exceptions are needed and a specific Project petty cash policy will be developed keeping in mind the project requirements and it will be approved and applied as per authority matrix.</t>
  </si>
  <si>
    <t>Irregularities identified in Project related expenses</t>
  </si>
  <si>
    <t>Internal audit has reviewed Petty Cash Invoices for Projects on sample basis (50 vouchers) amounting around SAR. 1.4 million for the year 2020 and observed like;
1. Comparitive quotes not obtained
2. Original invoices are not attached, scanned copies attached.
3. No Prior Maintenance approval from Maintenance dept.
4. Payment receipt not attached with vouchers
5. Inadequate supporting documents
6. Incorrect payment descriptions mentioned while recording accounting entries</t>
  </si>
  <si>
    <t>Management must ensure that the above identified gaps should be covered with adequate documentation</t>
  </si>
  <si>
    <t>Finance Manager
&amp; 
Organization Support Manager</t>
  </si>
  <si>
    <t>Petty Cash and procurement policies/process shall be reviewed and updated, see Item 6.</t>
  </si>
  <si>
    <t>Absence of Pricing Strategy and Discount Approval</t>
  </si>
  <si>
    <t>There is absence of comprehensive pricing strategy and in month of May 2020 there is a discount of 20% allowed to Wafra project after negotiation (due to delay in providing the new vehicles as per contract in Covid 19 situation), but no approval as per authority matrix is obtained prior to allowing discount. The approval for discount is obtained from Chairman BOD on March 28, 2021 after the audit query was raised.</t>
  </si>
  <si>
    <t>Management must develop a comprehensive pricing strategy that should include the detail procedure of discount allowed and approval requirements.</t>
  </si>
  <si>
    <t>Business Development Manager</t>
  </si>
  <si>
    <t>This action was approved by the Chairman and it avoided more severe and costly penalties due to COVID situation. However, in future management will obtained the prior written approval for any discount allowed.
Comprehensive pricing policy covering detail procedures for discounts is in progress that will be approved and implemented accordingly.</t>
  </si>
  <si>
    <t>Noncompliance with labor law</t>
  </si>
  <si>
    <t>During our review, it was noted that cash salaries have been processed for certain project employees who are not under sponsorship of BTC. Most of the employees are hired in 2015-2016
but their sponsorship is not transferred yet.</t>
  </si>
  <si>
    <t>Sponsorship of employees should be changed in a predefined time
limit from joining date, and Salaries should be transferred in the
relevant bank accounts of the employees.</t>
  </si>
  <si>
    <t>Project Manager</t>
  </si>
  <si>
    <t>One instance where there were no permits for certain number of staff on one location. It was a business decision to avoid large financial losses to the Company.</t>
  </si>
  <si>
    <t>Manual invoicing of projects</t>
  </si>
  <si>
    <t>All the Project related invoices are generated manually instead of using system invoicing through CarPro.
Further complementary vehicles with zero rent value were not shown on the monthly invoices that will hinder us to verify the physical inventory of the vehicles with client.</t>
  </si>
  <si>
    <t>Project invoicing should be automated through Car pro and also showing the complementary vehicles with zero value.</t>
  </si>
  <si>
    <t>IT Systems &amp; Applications</t>
  </si>
  <si>
    <t>Open Due</t>
  </si>
  <si>
    <t>More than 2 Years</t>
  </si>
  <si>
    <t>There was no such “complementary vehicles” for the project, these are considered as Replacement vehicles as per contract terms which is equivalent to 10% of the assigned vehicles to be charged to client on monthly basis.
There is no option to print invoices for projects in CarPro. We shall raise a request with IT to fix this issue.</t>
  </si>
  <si>
    <t xml:space="preserve">Inadequate Compliance Plan for FY 2021 </t>
  </si>
  <si>
    <t>1.	Department has an approved compliance plan for the year 2021 however, plan is not comprehensive with following shortfalls: 
•	Resources required and allocated along with man days required
•	Consumer Compliant handling process audit as per section # 8 of compliance policy and procedures
•	Regional offices related plan/calendar.
Also, we noted that compliance department did not have approved compliance plan for FY 2020.</t>
  </si>
  <si>
    <t>•	Department should ensure to develop mechanism for yearly planning activity.
•	Compliance plan should include but not limited to aforementioned shortcomings</t>
  </si>
  <si>
    <t>There was no compliance plan in 2020, but it was prepared and approved for the year 2021. 
Further, special assignment to perform customer complain handling audit is removed in the new manual and resultantly not the part of compliance plan.  Resource plan and regional offices compliance audit will be included in next year plan 2022.</t>
  </si>
  <si>
    <t>Absence of Approved Compliance Framework.</t>
  </si>
  <si>
    <t>During our review, we noted that there is no approved compliance framework is in place.
Compliance frame work is a comprehensive document should at least cover but not limited to the followings:
•	Overall compliance department approach and scope;
•	Roles and responsibilities of department;
•	Compliance culture, awareness and monitoring;
•	Structure and reporting lines of the department;
•	compliance universe
•	Compliance KPIs.</t>
  </si>
  <si>
    <t>Department should have an approved Compliance framework and apply it accordingly.</t>
  </si>
  <si>
    <t>Department will prepare a comprehensive compliance frame work including the aforementioned areas and get it approved from compliance committee.</t>
  </si>
  <si>
    <t>Outdated Compliance Policy and Procedures.</t>
  </si>
  <si>
    <t>Compliance Department policy and procedures Version 1.0 approved in Feb. 2019 and applied accordingly, states that the policy and procedures will be revised and updated in first quarter 2021 as mentioned below that was yet not completed and approved.
During our review of existing approved version, we noted the following areas/processes are not covered in policy and procedures:
•	Procedures to Communicate and monitor new rules and regulations and their follow ups process.
•	Departmental self-assessment.
•	Maintenance and update of Repository of applicable law/regulations or compliance register.
•	Staff training and development.
•	Communication procedures with regulators and departments.
•	Compliance champion, his/her role and responsibility
•	Investigation procedures, root cause analysis and remedial action for any regulatory breach.
•	Approval procedures for delay/non submission of regulatory reports
•	Procedures to track and monitor timeliness for regulatory reports submissions.
•	Data retention policy as per applicable law
procedure for periodic Gap analysis i.e. between laws/rules/regulations and current practice</t>
  </si>
  <si>
    <t>Department should revise and update policy and procedures in periodic manner. Also, to include the aforementioned areas during update.</t>
  </si>
  <si>
    <t>Department will update and prepare comprehensive compliance policy and procedures including the aforementioned areas and get it approved from compliance committee.</t>
  </si>
  <si>
    <t>Absence of Comprehensive Compliance Register/ Repository</t>
  </si>
  <si>
    <t>During our review, we noted that repository of applicable laws/regulations/circulars is not comprehensive and not covering following mentioned applicable circulars and its requirements.
•	Linking to electronic portal/systems for opening rent agreement with client, specified by the Authority (Ministry of Transportation &amp; Logistics services no. 1/41/120).  
•	Regulations related to consumer rights &amp; protection.</t>
  </si>
  <si>
    <t>Management will update the repository of applicable regulations/compliance register.</t>
  </si>
  <si>
    <t>Inadequate Mechanism for Communicating New Regulations / Circular in Timely Manner</t>
  </si>
  <si>
    <t xml:space="preserve">During audit, we noted that there is a delay in communicating the new regulations/circulars to the relevant departments.
Below are the instances:
 </t>
  </si>
  <si>
    <t>Department should develop mechanism and / or tools of communication to relevant department for any new regulation/circular for timely compliance.</t>
  </si>
  <si>
    <t>Department will implement the above recommendation to communicate new regulations/circulars on timely manner.</t>
  </si>
  <si>
    <t>Absence of Approved Organizational Structure, Job Description, KPIs of Compliance Staff.</t>
  </si>
  <si>
    <t xml:space="preserve">1.	During our review, we noted that organizational structure for the compliance department is not available.
2.	Job description for the department employees is not prepared approved and communicated to employees.
No staff KPIs are defined, approved and communicated to employees. </t>
  </si>
  <si>
    <t>Management should prepare the followings, get it approved as per authority matrix, and communicate it to the staff:
•	Organization structure showing clear reporting lines;
•	Job description, succession plan and KPI for employees</t>
  </si>
  <si>
    <t>Department management will coordinate with HR department to prepare and finalize the organizational structure of compliance department, job descriptions and KPIs of the compliance staff.</t>
  </si>
  <si>
    <t>Absence of Compliance Related Trainings to Staff.</t>
  </si>
  <si>
    <t xml:space="preserve">We noted that since 2019, staff has not attended any professional training/course/seminar relating to compliance or any other office and skills management/enhancement training. </t>
  </si>
  <si>
    <t>Department should plan and arrange trainings for their staff relating to compliance, new laws and regulations, office management/skill enhancement trainings.</t>
  </si>
  <si>
    <t xml:space="preserve">Department will assess the training needs of compliance staff and coordinate with HR department for related trainings. </t>
  </si>
  <si>
    <t>Procure to Pay</t>
  </si>
  <si>
    <t>Absence of procurement policies &amp; procedures</t>
  </si>
  <si>
    <t>During IA review, it was noted that policies and procedures for procurement department are not comprehensive and approved. 
However, BTC has developed new Policy &amp; Procedures during the year 2020, which is not yet approved. However, department is using these policies as guidelines since march 2021.
For effective and efficient operations and management, complete set of policies in line with the overall business strategy to be documented and approved as per authority matrix. Such policies may include (but are not limited to) areas relating to:
•	Emergency Purchase procedures
•	Budgeted and non-budgeted items
•	Criteria/limits for initiating POs 
•	Vendor master File and its updating &amp; monitoring 
•	Vendor blacklisting policy 
•	Bidding Process
•	Vendor evaluation policy
•	Purchase Order cancel/ modification policy
•	Single/sole sourcing
•	Evaluation and demand committees
•	Vendor complaint handling &amp; dispute resolution procedures
•	Strategic sourcing mechanism
•	Price benchmarking mechanism
•	Maker-Checker process
•	Segregation of Duties
•	Tendering process</t>
  </si>
  <si>
    <t xml:space="preserve">As per discussion with the group management, an external consultant has been hired for the development of policies and procedures, these will be approved and applied accordingly. </t>
  </si>
  <si>
    <t>Absence of procurement plan &amp; budget</t>
  </si>
  <si>
    <t>During review, IA noted that procurement department has not developed any annual procurement plan &amp; budget in line with business plan.
However, all procurement are made, based on business &amp; operational requirements</t>
  </si>
  <si>
    <t>•	Procurement department should develop annual approved procurement plan in line with the Business Plan of the company 
•	Annual/Quarterly procurement budgets should be automated and tracked for any future variances.</t>
  </si>
  <si>
    <t>As per discussion with the group management an external consultant has been hired for the development of policies and procedures, including procurement policies and procedures (procurement budget and plan). In guidance of these policies and procedures management will develop annual procurement plan and budget in line with the business plan on quarterly or annual basis accordingly</t>
  </si>
  <si>
    <t>Absence of dept. Organization structure</t>
  </si>
  <si>
    <t>During review, IA noted that:
1.	Approved organizational structure for the procurement department is not available.
2.	Job descriptions and succession planning for key procurement staff were not developed and available for review.
3.	No KPIs are defined, approved and communicated to key employees of the Procurement department.</t>
  </si>
  <si>
    <t>Management should prepare Org. structure, KPI &amp; Job description &amp; get it approved as per authority matrix, and communicate it to the staff</t>
  </si>
  <si>
    <t>Department with the coordination of HR will develop organizational structure, job description, succession plan and KPIs of the department key employees.</t>
  </si>
  <si>
    <t>Absence of procurement evaluation committee</t>
  </si>
  <si>
    <t>During IA review, it was noted that there is no Procurement Committee in BTC to ensure transparency, consistency and fair application of procurement practices.</t>
  </si>
  <si>
    <t>•	Management should form a procurement committee defining its charter to ensure transparent and fair procurement process. 
•	The committee should maintain minutes of the entire procurement meetings.
•	Committee should consist Finance member, Technical member, Procurement member and Beneficiary.</t>
  </si>
  <si>
    <t>Q3</t>
  </si>
  <si>
    <t>Management will establish Procurement committee to ensure consistent, correct application of approved procurement policies &amp; procedures, monitoring and executing procurement functions.</t>
  </si>
  <si>
    <t>Absence of procurement reporting framework</t>
  </si>
  <si>
    <t>During review of the procurement process, it was noted that there is no defined mechanism for periodic performance evaluation, monitoring &amp; reporting in place.
Procurement department is not preparing &amp; presenting the periodic performance monitoring reports to the management. These reports may include but are not limited to the following:
1.	Budgeted &amp; Unbudgeted purchases
2.	Rate of Emergency Purchases
3.	Average PO cycle time
4.	Procurement ROI &amp; benefits (Annual cost saving/Annual procurement cost)
5.	PO status report
6.	Sole/Single sourcing report</t>
  </si>
  <si>
    <t>•	A formal, documented performance measurement &amp; monitoring framework should be develop to enable assessment of the efficiency and effectiveness of the Procurement Department, to support management decision making.</t>
  </si>
  <si>
    <t>Management will consider the provision of these report in new system implementation.</t>
  </si>
  <si>
    <t>It was also identified that Procurement Supervisor has the following access rights in CarPro system for vehicle related purchases:
1.	Creation of Purchase Order
2.	Modification of Purchase Order
3.	Receiving of Goods in system (GRN)
4.	Posting of supplier invoices</t>
  </si>
  <si>
    <t>Management will identify and assign appropriate jobs/activity to relevant employees and will ensure proper segregation of duties are maintained in new system implementation process.</t>
  </si>
  <si>
    <t>Absence of adequate governance for POs processes</t>
  </si>
  <si>
    <t>During IA review of 30 PO samples, it was noted the following documentation/implementation discrepancies:
1)	11 POs were found with no receipt acknowledgement on PO from vendors.
2)	13 POs were found without vendor comparison sheets.
3)	26 POs were found without Credit application, vendor profile and vendor selection form.
4)	7 POs were found with no Delivery notes.
5)	Vendor comparison sheets are not comprehensive as it doesn’t include payment terms, delivery days criteria, vehicle color etc. and justification for vendor selection.
6)	There is no checklist and chronological arrangements of PO related supporting documents
Please refer Appendix 4 for further details.</t>
  </si>
  <si>
    <t>•	Department should address all the above listed shortfalls in PO documentation, all required supporting documents should be properly filed in chronological order. 
•	A checklist of required documents should be developed and applied by procurement department.</t>
  </si>
  <si>
    <t>With the development of new procurement policies and procedures, Department will prepare standard checklist of all required documents and take necessary steps/actions to ensure complete filing of supporting and necessary required documents properly.</t>
  </si>
  <si>
    <t>Issuance of manual purchase orders to vendors</t>
  </si>
  <si>
    <t xml:space="preserve">During IA review, it was noted that certain POs are created manually for purchases for vehicles, Installations and other miscellaneous purchases (IT, Consumables, Stationary etc.)
Details are as under:
 </t>
  </si>
  <si>
    <t>•	All POs should be generated in system and issued to vendors.
•	Any required changes should be incorporated in the system
•	There must be procedures and systems for recording, reporting and archiving of all documentation</t>
  </si>
  <si>
    <t>Department will issue system purchase orders only through system, and no manual purchase orders will be issued to vendors.</t>
  </si>
  <si>
    <t>Manual modification of purchase orders</t>
  </si>
  <si>
    <t>During review, IA noted that POs issued through CarPro are modified and printed through excel before final approval and sending to vendor.</t>
  </si>
  <si>
    <t>•	All POs should be generated in system and issued to vendors.
•	System generated POs should not be modified. 
•	Any required changes should be incorporated in the system and approved as per DOA.</t>
  </si>
  <si>
    <t>POs are printed based on the CarPro generated POs and we can’t print directly from the CarPro system. Due to some technical error, and we will contact IT to solve this issue so we can make and print all POs through system without modification.</t>
  </si>
  <si>
    <t>Absence of vendor prequalification questionnaire form and vendor evaluation form</t>
  </si>
  <si>
    <t>During review of the Procurement process, it was noted that there is no Vendor Prequalification Questionnaire Form/Vendor Selection Criteria Form designed &amp; applied by the department.
It was also noted that Vendor Evaluation Scorecard is not developed to carry out periodic evaluation of vendors/suppliers by the procurement department. 
Below criteria should be included in vendor evaluation scorecard but are not limited to:  
1.	Supplier Rate
2.	Compliance Rate of vendor contracts
3.	PO &amp; Invoice accuracy
4.	Average supply lead time
5.	Vendor Availability</t>
  </si>
  <si>
    <t>•	Vendor Prequalification Questionnaire Form should be define &amp; applied at the time of vendor selection by Management
•	Vendor evaluation mechanism and scorecard should be developed and performed on periodic basis.
•	Feedback from the user department should be incorporate in the Vendor Evaluation process.</t>
  </si>
  <si>
    <t>With development of new procurement policies and procedures, also design Vendor Prequalification Questionnaire Form/Vendor Selection Criteria Form as mentioned and apply accordingly.</t>
  </si>
  <si>
    <t xml:space="preserve">Significant Weakness in PO Management  </t>
  </si>
  <si>
    <t>During review, it was noted that no mechanism is in place for P.O modification/cancellation.
Instances are as under:
1.	P.O. no. 205985 for purchase of 50 Vehicles(Tahoe):
•	Three P.O’s were issued manually with same PO number 205985. 
•	 For a single purchase of 50 vehicles, 3 POs were issued at different rates
•	Cancellation of P.O is not performed before issuing new POs
 The above three POs are considered delivered to vendors as white copy of PO (vendor copy) is not available in files.</t>
  </si>
  <si>
    <t>•	All POs must be issued under unique serial number.
•	Management should develop defined mechanism for any subsequent changes (modification/cancellation) of issued PO.</t>
  </si>
  <si>
    <t>With the development of new procurement policies and procedures, Department will prepare procedures for cancellation/modification of issued POs and will apply accordingly.</t>
  </si>
  <si>
    <t>Purchases by Multiple Department not routed through Procurement Department</t>
  </si>
  <si>
    <t>1.	During IA review, it was noted that in year 2016-17 (4-5 years before), Procurement department had negotiated &amp; finalized vendors for regular maintenance purchases. Since then, there is no periodic subsequent evaluation of vendors performed by Procurement department.
2.	Further, it is also noted that since then all purchases related to Maintenance (majorly Tires, Batteries &amp; Oil) are made by Maintenance dept. and not routed through the Procurement department. There is no blanket PO issued by Procurement department for such kind of routine purchases.
3.	Subsequent Price negotiation and related decisions are also made by Maintenance dept. without the involvement &amp; approval of Procurement department.
Year-wise details of purchases made are as under:
Purchase Year	Total Amount in SAR	Types of Material Purchase
2019	3,032,813	Tires and Batteries
2020	3,223,538	Tires and Batteries
2021	1,971,969	Tires and Batteries
4.	Purchases relating to facilities management are also made directly by the facility department.</t>
  </si>
  <si>
    <t>•	All purchases should be routed through procurement department
•	Vendor performance evaluation should be carried out periodically.</t>
  </si>
  <si>
    <t>With the development of new procurement policies and procedures, Management will also consider and discuss the modification of org. structure in way to bring all procurement related activities under the procurement department.</t>
  </si>
  <si>
    <t>Lack/inadequate controls over vendor contracts</t>
  </si>
  <si>
    <t xml:space="preserve">Vendor contracts are important to achieve better quality of service, competitive prices and most suitable credit terms.
During review IA noted that:
1.	Certain vendor contracts are not available (where applicable).
2.	Vendor contracts are not vetted by the legal department.
3.	Vendor contracts are expired.
4.	There are no standard agreements/terms for all vendor contracts
5.	There is no SLA for Procurement
Below are the details:
</t>
  </si>
  <si>
    <t>•	All agreements should be renewed periodically and renewal requirements to be monitored periodically by the head of department
•	Agreement should be signed &amp; retained for all the procurement activities including SLA
•	There should be standard agreements used for all procurement vendors vetted by legal advisor.
•	All the agreements should be vetted by the Legal department.</t>
  </si>
  <si>
    <t>Mostly vendors are not interested to make contracts, however management will consider and make his maximum possible effort to renew old contract (where applicable) or make new contracts</t>
  </si>
  <si>
    <t>Inadequate maintenance of vendor master file</t>
  </si>
  <si>
    <t xml:space="preserve">On review of the procurement process, we noted the following:
1.	There is no system based vendor master file. However, it is maintained manually over excel spreadsheets
2.	Upon further review, it is noted that required information were not updated and is not comprehensive.
Master file must contain following information like;
•	Vendor Status (Active/ Inactive)
•	Vendor Code (Oracle &amp; CarPro)
•	City, Country, Region
•	Agreed Payment Terms
•	Contract Availability
•	Vendors address
•	Vendors bank account
3.	Vendor Master File does not include below mentioned vendors (sample) details related to Maintenance department:
Sr.	Workshop/Vendor Name	Type
1	CARAVAN AUTO	Workshop
2	LEMAR WORKSHOP	Workshop
3	FAST WORKSHOP	Workshop
4	ELAF CENTER FOR CAR MAINTENANCE	Workshop
5	FARAS MAINTENANCE CENTER	Workshop
6	PETROMIN EXPRESS (OIL/SERVICE)	Workshop/Parts
7	AL HAMRANI ONE STOP	All Kingdom
8	AL AMOUDI (TIRES)	Parts
9	GENERAL AUTOMOTIVE SERVICES	Parts
10	BIN SHIHON 	Parts
11	AL RASHED GOODYEAR	Parts
12	PETROMIN GULF OIL	Engine Oil
13	AMERICAN GEAR SUPPLY &amp; SERVICE CENTER	Workshop
14	BTC OWN WORKSHOP	Workshop
15	TAMIMI SERVICE&amp;TIRE&amp;BATT	Workshop
16	ALRAWABI WORKSHOP  KHOBAR 	Workshop
17	AMERICAN GEAR SERVICE 	Workshop
18	AUTO CLINIC WORKSHOP	Workshop
19	WAFA WORKSHOP KHOBAR 	Workshop
</t>
  </si>
  <si>
    <t>•	Vendor Master File should be automated, comprehensive &amp; updated on periodic basis.
•	Develop master file change process.
•	All access to vendor master file should be limited to authorized persons
•	Procurement Manager should review the vendor master periodically and deactivates dormant vendors.</t>
  </si>
  <si>
    <t xml:space="preserve">Department will develop automated Vendor Master File that should be comprehensive (including all vendors) &amp; updated on periodic basis. </t>
  </si>
  <si>
    <t>Long pending open purchase orders</t>
  </si>
  <si>
    <t xml:space="preserve">During review, we noted that there are 28 purchase orders that are pending since year from 2016 to 2020. These purchase orders are related to vehicle purchases. It concludes that open purchase orders have no procedures set to close it with a limited period.
Below are the year-wise details mentioned as under:
Year of Purchase	No. of Purchase Orders	Qty. Ordered	Qty. Received
2016	2	710	643
2017	3	83	74
2018	17	876	590
2019	4	200	128
2020	2	112	27
Total	28	1981	1462
</t>
  </si>
  <si>
    <t>•	Management should generate periodic report of all open purchase orders as at a particular date summarizing the date of shipments, current status and take necessary actions (Open/Close).</t>
  </si>
  <si>
    <t xml:space="preserve">The department will take correction action by consulting with IT department and business owners, further a policy should be established for periodic review of open POs for their timely action to close open POs.  </t>
  </si>
  <si>
    <t>Absence of standard purchase requisition form</t>
  </si>
  <si>
    <t>During review, IA noted that there is no standard Material requisition for all purchases. 
Separate process is followed for different types of purchases like:
•	Manual requisition for stationary, consumables, Facility, Admin, and Marketing etc. related purchases.
•	Email requisition for IT related purchases.
•	CarPro requisition for vehicles &amp; installations.</t>
  </si>
  <si>
    <t>•	Management should design &amp; use standard purchase requisition form</t>
  </si>
  <si>
    <t xml:space="preserve">After the finalization of new organizational structure and implementation of new system, department will apply a standard requisition form for all type of procurement. </t>
  </si>
  <si>
    <t>Outdated Treasury Policies and Procedures</t>
  </si>
  <si>
    <t>Based on IA review, it was noted that policies and procedures for treasury function are outdated (no revision from 2011). However, management has developed a new version of treasury policies and procedures which is not yet approved and applied.
Further the following important areas of policies and procedures should be the part of new manual (including but not limited to):
•	Liquidity Risk Management policy risk and Appetite framework
•	Cash forecasting and planning procedures
•	Working Capital management
•	Maturing obligations policy and procedures
•	Inter-Bank Transfer procedures
•	Bank relationship management</t>
  </si>
  <si>
    <t>As per discussion with the group management, Policies and procedures will be prepared by the group consultant and approved accordingly.</t>
  </si>
  <si>
    <t>Absence of Organization structure, KPI’s and Job Description for Treasury function.</t>
  </si>
  <si>
    <t>During review, IA noted that Organizational structure, Job Descriptions and Key Performance Indicators (KPIs) for the Treasury Department have not been established, approved and communicated to key employees of the treasury function.</t>
  </si>
  <si>
    <t xml:space="preserve">•	Organizational structure of finance department showing treasury function should be developed and approved accordingly.
•	Role based KPIs to be developed and should be duly communicated to staff.
•	Performance monitoring mechanism to be formalized.
•	Job Descriptions should be prepared and approved as per DoA’s and communicated to employees. 
•	Trainings should be given to treasury staff in both financial aspects, as well as the operations of the department. </t>
  </si>
  <si>
    <t>As per discussion with the group management, Policies and procedures will be prepared by the group consultant and approved accordingly. Management will prepare organizational structure, job description and KPIs for staff in line with the new policies and procedures.</t>
  </si>
  <si>
    <t>Absence of defined Service Level Agreement</t>
  </si>
  <si>
    <t>During IA review, it was noted that no Service Level Agreement exists between BTC and Group treasury for smooth operations of BTC treasury function.
The SLA should include at least the followings: 
•	Description of services provided
•	Expected service levels, and metrics by which the services will be measured
•	Escalation matrix for non-adherence to SLA.
•	SLA should be approved as per DoA and circulated to all relevant stakeholders.
•	Duties and responsibilities of each party and remedies or penalties in case of non-observance</t>
  </si>
  <si>
    <t>•	SLA mapped with business impact and severity should be developed that governs activity within BTC and across group treasury.</t>
  </si>
  <si>
    <t xml:space="preserve">As per discussion with the group management, Policies and procedures will be prepared by the group consultant and approved accordingly. Management will consider to develop and approve SLA based on new Policies and procedures. </t>
  </si>
  <si>
    <t>Absence of critical liquidity Reports</t>
  </si>
  <si>
    <t>IA noted that critical treasury and liquidity related reports are not prepared and provided by the department.
Below is the list of necessary treasury reports (including but not limited): 
•	Approved Contingency Funding plan
•	Fund management report
•	Contingency funding strategy and related report
•	Contingency Plan and recent periodic revisions</t>
  </si>
  <si>
    <t xml:space="preserve">Liquidity reports should be prepared by the treasury department on periodic basis
•	Solvency levels should be monitored on a periodic basis and computed/reviewed on a quarterly basis (at the minimum) by Senior Management.
•	There should be a contingency funding plan in place, approved both by the entity's as well as Group's Board of Directors, for resolution of the financial issues. It should cover (but not limited to) Roles and Responsibilities of specified staff at the time of a liquidity crisis, ranking of sources of funding and preference, funding concentration limits, performance of a yearly stress test at the minimum.
•	The funding plan should be reviewed on a quarterly basis at the minimum </t>
  </si>
  <si>
    <t>Cash management is in the embed of group treasury department, currently BTC is preparing Fund position reports manually and with the increased usage of new system, we will be able to generate important liquidity report through new system.</t>
  </si>
  <si>
    <t>Absence of Cash flow forecast</t>
  </si>
  <si>
    <t>During audit, it was noted that periodic Cash flow forecasts statements are not prepared, reviewed, approved and documented by treasury department.
Cash flow forecasts may include (but not limited to) areas such as:
•	Forecasted cash flow assumptions e.g., credit period of the suppliers, credit period of customers, inflation rates, etc.
•	Alternate fund management plan.
•	Variance analysis for cash flow forecasts in terms of numbers and reasons for variances should be properly documented and reviewed.</t>
  </si>
  <si>
    <t>•	Periodic forecasted cash flow should be prepared for BTC
•	Cash positions and Liquidity gaps should be monitored daily 
•	Related reconciliation and reports with explanations for exceptions and actions are reviewed by Head of Department on a periodic basis. 
•	Liquidity limit breaches/near misses should be escalated as per approved escalation matrix
•	All reports relating to cash positions and funding should be reviewed  on a periodic basis.</t>
  </si>
  <si>
    <t>Monthly Forecasted cash flows is prepared manually. However, department will consider the need to extend cash forecast on quarterly basis</t>
  </si>
  <si>
    <t>Lack of monitoring over actual bank accounts &amp; G/L accounts</t>
  </si>
  <si>
    <t xml:space="preserve">During review of bank accounts lists shared by treasury department and General Ledger (GL) accounts opened for banks, the below instances were noted:
A/C no.	Bank Name	Findings
11010217	INMA Bank	Bank Account has been closed but not closed in G/L
11010215	Al-Bilad Bank	Bank Account has been closed but not closed in G/L
</t>
  </si>
  <si>
    <t>A periodic review of the Chart of Accounts that involves:
•	Finance Manager to identify anomalies like but not limited to redundant GL accounts.
•	Review and approve the changes to chart of accounts as per DoA Matrix</t>
  </si>
  <si>
    <t>Both above mentioned account codes have been closed. department will ensure periodic review of chart of accounts for redundant GL accounts, and ensure any modification in chart of account will be made after approval from department head.</t>
  </si>
  <si>
    <t>Loan agreements are not vetted by legal department</t>
  </si>
  <si>
    <t xml:space="preserve">During the course of audit, it was identified that loan agreements with banks are not vetted by the Legal Department. Below are the findings:
Bank Name	Loan Agreement	Amount SAR	Legal Dept. Review
SABB	30001390	164,000,000	
Samba	30001389	59,252,735	
</t>
  </si>
  <si>
    <t>Management should develop and implement a mechanism where, all terms and conditions of the contract should be reviewed by the Legal Department to ensure the interests of BTC are adequately safeguarded.</t>
  </si>
  <si>
    <t>Group treasury is making the agreement/contracts with banks, and we received the final singed versions of the contracts. However, BTC management has discussed and communicated to the group treasury department that banking contracts related to BTC will shared with BTC before finalization to ensure that BTC interests are properly safeguarded., We will present new contracts or agreements to the Legal Department for their opinion and authorization.</t>
  </si>
  <si>
    <t>Delay in preparing bank reconciliation statements</t>
  </si>
  <si>
    <t xml:space="preserve">During review, IA noted that:
•	Bank reconciliations are prepared manually not through oracle system. Oracle system has this functionality but department is not using this and preparing bank reconciliation reports manually on spreadsheets.
•	Bank reconciliations are not prepared in a timely manner. As per best practice bank reconciliations should be prepared with in first 10 days of subsequent month.
Below are the instances where bank reconciliations are prepared with considerable delay:
Banks Accounts	Recon Month	Prepared date	Delay in days
SABB Bank 11010206	Jun-21	26-Jul-21	23
SAMBA 380	Jun-21	26-Jul-21	23
SAMBA 820	Jun-21	26-Jul-21	23
SAMBA 926	Jun-21	26-Jul-21	23
RAJHI Bank 11010211	Jun-21	26-Jul-21	23
</t>
  </si>
  <si>
    <t>Bank Reconciliations should be prepared on timely manner not later than first 10 days of subsequent month.</t>
  </si>
  <si>
    <t>Finance department will ensure timely preparation, review and approval of bank reconciliations. October 2021 reconciliations are prepared on 16th November and provided to Internal audit. We will consider preparation of bank reconciliations by ERP system after full implementation of system.</t>
  </si>
  <si>
    <t>Outdated accounts payable policies and procedures</t>
  </si>
  <si>
    <t>During review, IA noted that the policy &amp; procedures for Accounts Payable section are outdated since year 2011.
However, BTC has developed new Policy &amp; Procedures during the year 2020, which is not yet approved and implemented.</t>
  </si>
  <si>
    <t>Comprehensive policies and procedures manual should be developed, approved, implemented and updated on periodic basis</t>
  </si>
  <si>
    <t>Currently, there are no approved policies and procedures that define duties and responsibilities.
As per discussion with group management Policies and procedures will be prepared by the group consultant and approved accordingly.</t>
  </si>
  <si>
    <t>Absence of defined mechanism for vendor balances Confirmation &amp; Reconciliation</t>
  </si>
  <si>
    <t>During IA review of Accounts payables process, it was observed that there is no defined mechanism to seek periodic balance confirmation &amp; subsequent reconciliation of identified differences between Vendor Statement of accounts &amp; confirmation.
However, upon audit query for vendor balance confirmations, AP function has then requested vendors to provide balance confirmations and submitted for audit review during the course of audit.</t>
  </si>
  <si>
    <t>•	There should be defined mechanism for review &amp; reconciliation of accounts payable on periodic basis.
•	The procedure should specify the reconciliation template containing ageing &amp; root cause analysis for long ageing balances.
•	Balance confirmation should be obtained for significant vendors
•	All vendor confirmation balances should be reconciled to the General ledger.</t>
  </si>
  <si>
    <t xml:space="preserve">Due to the unavailability of the payable aging report in the current accounting system and the lack of sufficient reports, there is no analysis, and there is a gap (time) between the operating system and financial system, so no confirmation and reconciliations are made previously on timely basis,
However, with new system periodic confirmation and reconciliation will be made for all significant vendors starting from December 2021. </t>
  </si>
  <si>
    <t>Vendor advances aged more than 2 years</t>
  </si>
  <si>
    <t xml:space="preserve">Based on IA review, it was noted that the advances (Debit balances) in vendors’ accounts are pending for longer period. AP function did not take any action and steps for schedule refunds/ adjustments.
Vendor’s account activity was retrieved from system and identified following discrepancies:
Vendor Name	Balance SAR
‭Insurance House Co.‬‬‬‬‬‬‬‬‬‬‬‬‬‬‬‬‬‬‬‬‬‬‬‬‬‬‬‬‬‬‬‬‬‬‬‬‬‬‬‬‬	(2,413,293.50)
MALATH COOPERATIVE INS. CO. (2019-2020)‬	(308,408.86)
</t>
  </si>
  <si>
    <t>•	Accounting policy should specify the accounting for advance payments/ adjustments/ refunds. 
•	Checks should be conducted periodically (on a quarterly basis) to ensure that system is generating the correct accounting entries</t>
  </si>
  <si>
    <t>These balances are the insurance companies' balances in relation to the outstanding claims that relate to the total loss and the group insurance department is following up the cases with the insurance company. BTC staff will follow them with group insurance department on monthly basis to resolve.</t>
  </si>
  <si>
    <t>Anomalies noted in incentive calculations</t>
  </si>
  <si>
    <t xml:space="preserve">During review of lease collection incentives for the month of February 2021, it was noted that the collection amount of SAR 113,559 on 26-Jan-2021 was accounted for in February 2021 resultantly higher collection target was achieved in February 2021 (i.e. Incentive percentage increase from 0.15% to 0.30% as per approved policy) 
This result into excess in incentive amount disbursed to the relevant employees of SAR (2,206). Details of incentive calculations are as under:
Incentive Calculated, Approved &amp; Paid
Employee ID	99189
Region	JEDDAH
Collection Target	                       1,470,302 
Actual Collection Made	                 1,357,399 
Collection % Achieved	92.3%
Incentive % applied	0.30%
 Incentive Amount	                         4,072.20 
 Incentive re-calculated by Audit 
Collection Amount	                 1,243,840 
Collection % Achieved	85%
Incentive % applied	0.15%
 Incentive Amount	                         1,865 
Difference (Excess Paid)	                       (2,206)
</t>
  </si>
  <si>
    <t>•	Finance should ensure that incentive related calculations should be made accurately as per policy. 
•	Ensure all monthly-collected amount must be accounted in the same month collection targets.</t>
  </si>
  <si>
    <t>Currently, commissions are calculated by the collection department and reviewed by the receivables department and after approval these are paid by finance department.
 With the implementation of the new system, we will take collection directly from the system instead of taking it from collection department manual records, the matter will be dealt in the future through new system by finance department.</t>
  </si>
  <si>
    <t>During review of Accounts payable process, it was observed that segregation of duties was compromised. 
Payable Accountant has the following rights in the accounting system.
1.	Create New Vendor in system
2.	Enter Payable Amount in system
3.	Process payments in system.</t>
  </si>
  <si>
    <t xml:space="preserve">•	Management should ensure proper segregated of duties are in place and maker-check control on aforementioned functions. </t>
  </si>
  <si>
    <t>The current number of employees is not enough to segregation of duties. 
Instead, finance department has manual control over each payment transaction. As every payment is prepared by the accountant, then the AP supervisor and chief accounts, reviewed it by matching the internal purchase order(PR) with the purchase order sent to the supplier, import and receiving authorizations, matching payments with payment agreement, credit term and invoice amount and finally Finance manager approved the payment/bank transfer document by realize to bank. 
However, after complete system implementation and approval of finance department policies and procedures we will reassess the need to segregate the above mentioned duties or to place additional controls over the payments.</t>
  </si>
  <si>
    <t>Violation of authority matrix</t>
  </si>
  <si>
    <t xml:space="preserve">There is an exclusive contract dated 01-Dec-2020 between BTC and External Legal Consultant - HOSSAIN M. AL ABDULLAH, ATTORNEYS &amp; COUNSELORS not approved by BOD as per Authority matrix. 
However, IA noted that AP function processed monthly payments since December 2020 against this contract without ensuring approval of legal contract as per delegation of authority matrix.
Screenshot for Authority matrix here as under:
 </t>
  </si>
  <si>
    <t>•	Management should ensure that all contract approvals and signatures must be in line to approved authority matrix</t>
  </si>
  <si>
    <t>The lawyer's office was contracted by Mr. Hamoud Reda Al-Hamza, who was serving as a member of the Board of Directors and BTC MD, Payment is made according to a regular invoice issued to the BTC and approved by the company’s human resources manager.    Many payments were approved by the Chairman of the Board of Directors, Sheikh Abdul Mohsen Al-Issa.
However, we will coordinate with HR to get the contract signed/validation from BOD as per authority matrix.</t>
  </si>
  <si>
    <t>Misclassification of payments</t>
  </si>
  <si>
    <t>During IA review of Accounts Payable processes, it was note that there are multiple/recurring payments were made to one of the vendors named” SAPTCO” through Other Miscellaneous Payables account. 
Name	No. of Invoices	Amount in SAR
SAPTCO	10	592,000
There is no exclusive vendor account created for such routine vendors. 
Please refer Appendix 5 for complete transactions details</t>
  </si>
  <si>
    <t>•	Management should create vendor accounts of all such vendors where BTC have routine transactions
•	Vendor creation process should be followed as specified in the approved policy.</t>
  </si>
  <si>
    <t>A separate vendor account will be created and payment processing will take place through this account.</t>
  </si>
  <si>
    <t>Long outstanding balances of vendors &amp; absence of payable aging report</t>
  </si>
  <si>
    <t>1.	Based on IA review, it was observed that certain vendors have no movement and pending balances ranging from 2012 to 2019. There is no periodic review of such vendor account balances and subsequently no appropriate actions were taken to adjust these balances. 
Details of instances are as under:
Vendor Code	Vendor Name	Balance (SAR)	Pending
Since
B9001527	Abdurrahman Albisher &amp; Zaid Ali Co.	507,615	Jan-16
B3001630	MAJID WORKSHOP	208,494	Dec-17
B9001538	ROYAL &amp; SUNALLIANCE 2009 - 2010 	196,942	May-19
B1001190	AL-TAMASUL WORKSHOP	88,289	Dec-18
B3001585	MUNIF AL NAHDI GROUP	65,373	May-17
B3001550	UNIVERSAL CAR MAINTENANCE	63,100	Jul-17
B3001582	ABULKALAM MOHAMMED HABIB	60,751	Jun-18
-	Other Miscellaneous Vendors	Ranging from SAR
 (45  – 51,000)	-
2.	During our review, it was observed that there is no system-based payables’ aging report available for vendor outstanding balances. There is no system functionality in place to generate automated ageing report. 
No manual payable ageing report being prepared on periodic basis for analysis and review.</t>
  </si>
  <si>
    <t>Recommendation(s):
•	Inactive long outstanding balances should be review, escalate to higher management &amp; should be adjust on timely basis.
•	Finance Department should ensure that functionality of automated system-based ageing report should be enabled.</t>
  </si>
  <si>
    <t>The balances of the suppliers were reviewed and reconciliation on September 15, and the incorrect and long unclaimed balances were closed in the profit and loss accounts. 
Further management will place a mechanism to periodically review the system generated payable aging report and any unreconciled and unclaimed balance should be dealt on timely manner.</t>
  </si>
  <si>
    <t>Miscellaneous observations related to payables</t>
  </si>
  <si>
    <t xml:space="preserve">During IA review, it was noted the following:
1.	Account Payable Section does not utilise the Oracle System to track vendor contracts related terms &amp; conditions. The use of system monitoring would facilitate tracking of the number of agreements &amp; associated contract expenditures to ensure that contract credit limits, have not been exceeded, and the contract payments comply with applicable contracts.
2.	It was observed that vendor data in system does not specify the status of a vendor with respect to VAT (i.e., whether the vendor is Vatable or non-Vatable). AP section checks relevant vendors’ VAT applicability through manual records of vendor data.
</t>
  </si>
  <si>
    <t>•	All relevant departments’ vendor contracts should utilise the PR and PO function in Oracle/Microsoft Dynamics to track their contracts and related expenditures.
•	In collaboration with IT department, vendor information should be updated based on the status of each vendor (Vatable/non-Vatable). 
•	The system should automatically calculate the VAT amount to ensure no input VAT remains unclaimed.</t>
  </si>
  <si>
    <t xml:space="preserve">In new system maximum possible data relating to vendors will be captured in system, along with his contract and credit terms, VAT applicability and VAT number. </t>
  </si>
  <si>
    <t>Absence of Corporate Governance Function</t>
  </si>
  <si>
    <t>Currently, the corporate governance activities are managed by various functions/Department i.e. the Compliance department, Human Resources, Board Secretary and CEO office. 
During our review, we noted the followings:
1.	Absence of clarity regarding the position or organizational unit responsible, dedicated and accountable for coordination and ownership of the corporate governance activities across BTC Company.
2.	Absence of regular process at least annually for monitoring the implementation of the corporate governance principles in BTC and provide the Board with reports and recommendations.</t>
  </si>
  <si>
    <t>•	Clearly define and assign the roles and responsibilities related to the carrying out the corporate governance activities in BTC and ensure that the same is reflected in the respective corporate governance policy to act as a central point of coordination for governance activities.
•	The Board shall be provided with a periodic report relating to the implementation of corporate governance.</t>
  </si>
  <si>
    <t>BOD Secretary</t>
  </si>
  <si>
    <t>The Corporate Governance functions is part of the BOD Secretary rules and responsibility, However the BTC Executive Committee will develop a Corporate Governance Manual (CGM) in order for BOD approval and it will reflect the Corporate Governance functions.</t>
  </si>
  <si>
    <t>Absence of Comprehensive Corporate Governance Framework</t>
  </si>
  <si>
    <t>During our review, we noted the followings:
1.	Absence of comprehensive corporate governance framework for BTC.
2.	Absence of documented Board of Directors Charter. 
3.	Certain Committees Charters are not in-line with the leading practices and not include
 (Please refer to appendix: 4)
4.	Following designated stand-alone polices including but not limited to are not in place:
•	Stakeholder Relation Policy
•	Corporate Social Responsibility (CSR) Policy.
•	Customer’s Protection Policy;
•	Crisis Management; 
•	Media/social media Policy; 
•	Related Parties Policy.
•	Disclosure and Transparency Policy
•	Conflict of interest,
•	Confidentiality Policy
•	Whistle blow policy.
•	Nomination and remuneration policy.</t>
  </si>
  <si>
    <t xml:space="preserve">•	A comprehensive corporate governance framework should be developed, documented and should be aligned to the leading practices, periodically reviewed and updated according to current practices. </t>
  </si>
  <si>
    <t>BTC’s Executive Committee will develop a Corporate Governance Manual (CGM) in order for BOD approval and will reflect the above gaps.</t>
  </si>
  <si>
    <t>Absence of Comprehensive and Approved Code of Ethics Policy</t>
  </si>
  <si>
    <t>Approved Code of ethics policy for BTC staff is not developed and applied, The Company has in place an unapproved version of code of ethics developed by group. 
Moreover, during review we noted the following relating to ethical culture of the company:
1.	Absence of trainings or awareness sessions conducted for employees regarding adopted code of ethics. 
2.	The Code of Ethics does not illustrate the hotline contact details in case individuals can express concerns, questions, or observations regarding misconduct, unethical behavior.
3.	The code of conduct is not published to external stakeholders on company website.
4.	Absence of process to evaluate the individual's performance against the code of ethics standards incorporated in the performance evaluation process form.
Moreover, BTC is using a whistleblowing policy developed by Alissa group dated Aug. 2019 that set out the guiding principles and procedures for facilitates the reporting of the Code of Ethics. 
However, during our review of the whistleblowing process, we noted that the employees' acknowledgment of the whistleblowing policy was not obtained. Furthermore, Whistleblowing Policy and email/contact number are not published on the company website and the company's premise and hence no mechanism for external parties to raise concerns (if any).</t>
  </si>
  <si>
    <t>•	A comprehensive code of ethics policy should be developed by the company and applied accordingly.
•	The Code of Ethics should be circulated to all existing and newly hired employees. Furthermore, proof of receipt of the code should be obtained and archived in the employees’ files within the HR department and employees are required to certify or take annual training regarding the code of ethics. 
•	The approved Code of Ethics should be published on the Company website. 
•	The Company should define the periodicity for reviewing and updating the code of ethics to consider any changes in company business environment and culture.
•	The HR department should consider the code of conduct related criteria in standard individual performance evaluation criteria.
•	BTC should publish on the Company’s website with whistleblowing policy and develop channels / contact for receiving whistleblowing concerns and complaints from the external stakeholders.</t>
  </si>
  <si>
    <t>BTC Executive Committee will develop the Code of Ethics policy for BTC and will reflect the IA observation</t>
  </si>
  <si>
    <t>Absence of Corporate Document Control Policy Framework</t>
  </si>
  <si>
    <t>During our review of policy development and management process, we noted the following:
1.	Absence of documented Policy Framework or/and policy for identifying, creating, approving, maintaining, and updating Company’s policies.
2.	Absence of standardized and unified policy template for all the Company’s policies.
3.	The policy ownership is not identified or transparent to the business or to the potential policy owner. 
4.	Absence of centralized location for all company’s policies to ensure that all employees have access to policies.
5.	There is no defined Policies and Procedures committee to review and approve all policies before final issuance.
6.	Due to absence of custody to review and update responsibilities related to the company's policies were not clearly documented and defined. As a result, a number of key policies are missing.</t>
  </si>
  <si>
    <t>he Company should develop a policy contains the necessary framework such that policies can be written by policy authors, and then reviewed, ratified, approved, published, communicated, trained, maintained, and revised and create a standardized policy template to ensure proper alignment.
•	The Company shall create a centralized location for all company’s policies to ensure that all employees have access to company's policies &amp; procedures and have a clear understanding of company’s policies.
•	Clearly define the roles and responsibilities related to the custody, review and update of policies and procedures and ensure that the same is reflected in the respective manuals</t>
  </si>
  <si>
    <t>BTC’s Executive Committee will develop a Corporate Governance Manual (CGM) in order for BOD approval and will reflect the corporate document control policy as per the IA observations</t>
  </si>
  <si>
    <t>Absence of Key Boards’ Committees</t>
  </si>
  <si>
    <t>BTC has established various board committees to assist board of directors and developed charters for each of the Board Committees that defines and documents the specific responsibilities delegated by the Board of Directors to its Committees and the manner in which the Committees will operate. However, during our review we noted the following that Below board sub committees are not in place (existence):
•	Executive Committee;
•	Nomination and Remuneration Committee;</t>
  </si>
  <si>
    <t>BOD should consider to constitute the committee in timely manner  for the assistance and performance of their duties more effectively and efficiently</t>
  </si>
  <si>
    <t>By 31/12/2021, we agreed that there was an absence of Board Committees, However the Board of Directors in Jan 2022 appointed an Executive Committee of 5 Members. Moreover, the Executive Committee will develop a Board of Directors structure for BOD approval and will reflect the IA observations</t>
  </si>
  <si>
    <t>Weakness Surrounding Nomination, Appointment, and Retirement of Directors</t>
  </si>
  <si>
    <t>During review we noted the following:
1.	Absence of formal and documented Nomination and remuneration policy which set out the guidelines to the basic policies, standards, and procedures on the selection and appointment of Directors and subcommittee members.
2.	Absence of formal, documented, and approved Board Competency Model/Framework. Moreover, there is no documented evidence indicate that evaluation has been carried out to the current Board member’s skills and experience on periodic basis.
3.	Absence of an official Letter and contractual agreement that setting out the terms and conditions of Board and committee member's appointment.
4.	Absence of formal files/records maintained for all existing Board of Directors and committee members which include Board documents, declarations, and etc.
As leading corporate business practice, The NRC Committee shall ensure on an annual basis that Independent Members remain free of any conflict of interest and that they continue to satisfy the requirements as Independent Member. However, during our review, we noted that there is no NRC in BTC and no documented evidence indicates that such practice has carried out.</t>
  </si>
  <si>
    <t>•	The Company shall develop a Nomination and remuneration Policy to ensure the appointment to the Board of Directors of a candidate who will contribute optimally to the balance of skills, experience, knowledge maturity, network, and diversity of the Board.
•	The NRC shall develop and maintain a competency model to documents the skills, experience, independence, capabilities, qualifications, and knowledge required for Board membership and conduct at least annually an evaluation of the balance of skills, experience, independence and knowledge on the board.
•	The Company shall ensure that the following documents (not limited to) are maintained for each Board member: JD, background check, signed code of ethics, signed director declarations, Curriculum vitae, professional qualifications, academic certificates, work experiences, copy of the national ID, NRC assessment form, and contractual agreement.
•	Newly appointed directors, should receive a letter of appointment, setting out; key terms and conditions of the appointment, time commitment, powers and duties of directors, remuneration, requirement to disclose directors’ interests and any matters which affect the director’s independence, resignation and termination, and confidentiality and access to corporate information.
•	The NRC should ensure (at least annually) that Independent Directors appointed onto Board / Committee are free from conflicts of interest.</t>
  </si>
  <si>
    <t>BOD resolved the NRC in 2017 (attached 0.061) and delegated all NRC’s rules and responsibility to the Group NRC.
BTC Executive Committee will develop a Board of Directors structure for BOD approval and will reflect the IA observations.</t>
  </si>
  <si>
    <t>Absence of Related Parties and Conflict of Interest Policies</t>
  </si>
  <si>
    <t>During our review of related party’s activities and conflict of interest management and monitoring process, we noted the following:
1.	Absence of designated policy and framework to govern the company's Related Parties Transactions “RPTs” and dealing with its related parties.
2.	Absence of comprehensive identification methodology and lack of list/database of all related parties subject to deal with BTC.
3.	There is no annual activity for declaration or certification from all the company's employees (Directors, executive management, and employees) to declare any potential conflict of interest or related party disclosure. Furthermore, there is no documented acknowledgment from the employees that they read and understand the conflict of interest policy.
4.	There is no process in place to obtain employees' disclosure regarding any potential conflict of interest or any relative relation at the time of job application.</t>
  </si>
  <si>
    <t>•	The company should develop a comprehensive related party transactions policy 
•	A comprehensive related parties list should be developed and periodically updated based on available information. The list shall be communicated to concerned parties for their reference. 
•	The HR department shall ensure that the Job application for all newly hired employees has captured the employees' disclosure regarding any potential conflict of interest or any relative relation.
•	 Furthermore, the HR department should ensure that conflict of interest policy is communicated to all employees through on-going annual certification as acknowledgement of receiving and understanding policy</t>
  </si>
  <si>
    <t>BTC’s Executive Committee will develop a Corporate Governance Manual (CGM) in order for BOD approval and will reflect the related party transaction policy along with the conflict of interest as per the IA observations.</t>
  </si>
  <si>
    <t>Absence of Performance Evaluation/Assessments of Board of Directors</t>
  </si>
  <si>
    <t>During our audit, we noted absence of monitoring and periodic performance evaluation mechanisms implemented for board of directors and sub committees.
The Board of Directors shall conduct an annual evaluation to determine whether the Board and its Committees are functioning effectively. This assessment may be performed via self-assessment checklists, peer assessment, internal and/or external assessment by independent third party.
Furthermore, we noted the absence of a training plan and/or programs as part of the continuous professional development process for Board and committee members in order to develop their skills and knowledge in the fields related to the activities of the Company.</t>
  </si>
  <si>
    <t>The Board of Directors shall conduct an annual evaluation to determine whether the Board and its Committees are functioning effectively, by ensuring the following:
1.	The Board shall receive comments from all members and complete an annual assessment of the Board's performance which will be discussed following the end of each fiscal year.
2.	The assessment shall focus on the Board's contribution to the company specifically on areas in which the Board or management has expertise.
3.	The assessment shall include an assessment of skills and experiences, identification of weaknesses and strengths, and mechanisms of the Board’s activities in general.
4.	The assessment of Board members’ performance shall either be addressed internally or externally. The various methods include:
•	Self-evaluation whereby every member assesses his/her own performance.
•	Peer-evaluation whereby member assesses the performance of the Board as a whole.
•	NRC may assesse the performance of the Board / Board committee as a whole.
•	External independent evaluation whereby the Board performance as a whole is conducted by a third party every three years.
5.	Non-Executive Directors shall carry out a periodic assessment of the performance of the Chairman and consider the opinions of the Executive Directors on the assessment. The discussion shall take place without the presence of the Chairman.
6.	Develop training plans based on the board evaluation process and developing the necessary mechanisms for Board members to continuously enroll in training programs and courses in order to develop their skills and knowledge in the fields related to the activities of the Company. Moreover, the Chairman should address the development needs of the board as a whole</t>
  </si>
  <si>
    <t>This exercise will start in 2022</t>
  </si>
  <si>
    <t>Board and Committees Meeting Management</t>
  </si>
  <si>
    <t>During review of minutes of certain committees meeting conducted during 2020 and 2021, we noted certain instances where the Committee members have signed only the last page of the meeting minutes while they should sign all meeting minutes’ pages. 
(FOR INSTANCES, PLEASE REFER TO ANNEXURE # 5)</t>
  </si>
  <si>
    <t>•	All pages of Minutes of meeting should be duly signed or initialed by the Members.</t>
  </si>
  <si>
    <t xml:space="preserve">Only Audit Committee minutes of meetings are missing the mentioned signature, therefor we will follow up with committee secretary to close this observation accordingly.  </t>
  </si>
  <si>
    <t>Inadequate Strategic Delegation of Authority</t>
  </si>
  <si>
    <t xml:space="preserve">During review of the company’s delegation of authorities’ framework, we noted that Authority Matrix is incomprehensive and not addressing the following areas that include but are not limited to;
•	Review and approval authority of vision, mission and objectives of company.
•	Authority level for review and approval of the related party transactions and declaration of possible conflicts of interest (if any).
•	Outlining approval authority level for Bank facility/ loan agreements
•	Appointment and approval of key positions such as CEO, CFO. 
•	Approval authority of Budget variance </t>
  </si>
  <si>
    <t xml:space="preserve">•	The Authority matrix should be regularly and periodically updated and address all above identified gaps. </t>
  </si>
  <si>
    <t>An update version of DoA in progress and it will reflect all observation.</t>
  </si>
  <si>
    <t>Absence of Induction and Orientation Programs</t>
  </si>
  <si>
    <t>The Company shall pay adequate attention to preparation of induction program for the recently-appointed Board and committee members to familiarize them with the Company’s business, activities and corporate governance framework.
However, during  review we noted the absence of a formalized and comprehensive Board Member induction program and pack intends to serve as an information pack for new members joining the Company’s Board of Directors and sub committees.</t>
  </si>
  <si>
    <t>•	A comprehensive Board Member Induction Manual shall be in place intends to serve as an information pack for new members joining the Company’s Board of Directors, and recommend to include the following: 
1)	Strategy plan and key financial figures;
2)	Governance structure;
3)	Board Committees charters;
4)	The official documents (polices, procedures and other relevant documents);
5)	The Company's articles of association;
6)	The obligations of the Board members and their duties, responsibilities and rights;
7)	Corporate governance policy;
8)	Code of conduct;
9)	Board remuneration; and 
10)	Company's risk management framework.</t>
  </si>
  <si>
    <t>We do this exercise for each Board / Committee member newly appointed by sending all related materials by email.
Moreover, we will consider this exercise in written in 2022.</t>
  </si>
  <si>
    <t>Operations</t>
  </si>
  <si>
    <t>Lead to Collection</t>
  </si>
  <si>
    <t xml:space="preserve">Absence of comprehensive policies and procedures </t>
  </si>
  <si>
    <t>During IA review, it was noted that comprehensive policies and procedures covering all sub processes of the Business Development department (Spot, Lease &amp; Projects) are not in place. 
For effective and efficient operations and management, complete set of policies in line with the overall business strategy to be documented and approved as per authority matrix. Such policies may include (but are not limited to) areas relating to:
•	Lease Sales Policy, Section # 5.24 of policy specifies that up to 15% reduction of rental amount can be provided on renewal of contract, but no basis/conditions defined in the policy.
•	New branches (Spot &amp; Lease business) Initiation Setup &amp; Implementation
•	Closure of existing branches for Spot &amp; Lease business
•	Sale to employees and related parties
•	Process of receiving vehicles from Procurement
•	Process of Delivery of vehicles to customers 
•	Process of Travel Permit Issuance outside kingdom
•	Internal Transfers of vehicles from one region to another</t>
  </si>
  <si>
    <t>•	Comprehensive policies and procedures manual should be developed, approved, implemented, and updated on periodic basis.
•	Policy &amp; Procedures should also should include the process related to sale to group companies/subsidiaries</t>
  </si>
  <si>
    <t xml:space="preserve">Policies and procedures for BD will be developed, reviewed and submitted to board for their approval. After approval from board these will be applied accordingly. </t>
  </si>
  <si>
    <t>Absence of approved pricing and discount policy &amp; strategy</t>
  </si>
  <si>
    <t>During our review we revealed that, there is no pricing policy &amp; strategy defined and approved by management.
It was also noted that there is no approved discount policy in place to track, monitor and authorize any discounts or price reductions.
Pricing and discount policy should address at least the followings:
•	Customer segment wise pricing (corporate customers, Govt. customers, and food delivery companies and fast manufacturing consumer goods (FMCGs)
•	Pricing methodology
•	Base rate calculation
•	Defined pricing factors and targeted GP and NP.
•	Range and authority to change pricing factors
•	Promotions schemes
•	Regional impact on pricing.
•	Early termination and contract extensions.</t>
  </si>
  <si>
    <t>•	Pricing policy &amp; strategy should be defined and approved as per DOA.
•	Discount policy with minimum &amp; maximum discount limit should be defined &amp; approved and further discounts if required to be given must approved as per DOA.</t>
  </si>
  <si>
    <t>Pricing and discount policy is already prepared and submitted to board for review and approval. Once it will be approved it will be applied accordingly.</t>
  </si>
  <si>
    <t>Absence of business development plan &amp; strategy</t>
  </si>
  <si>
    <t>It was observed that there is no documented &amp; approved Business development plan &amp; strategy. 
This strategy &amp; associated plan should be in line with the organizational vision, mission &amp; goals and can propel entire organization to new levels of growth and profitability.
It includes many objectives such as sales growth, business expansion, formation of strategic partnerships and increased profitability. 
It is also required to assess and identify following key areas: 
•	Industry dynamics and implications
•	Target Market
•	Competitive Strength and Weaknesses (SWOT Analysis)
•	Current business emphasis with industry opportunity and competitiveness
•	Impact of strategic initiatives
•	Expected financial returns of strategy.</t>
  </si>
  <si>
    <t>•	Management should clearly develop Business development plan &amp; strategy (Spot &amp; leasing) and map it to mission, vision and goals of the organization.</t>
  </si>
  <si>
    <t xml:space="preserve">Once the policies and procedures are finalized for BD department, comprehensive business development plan and strategy will be developed, and applied accordingly. </t>
  </si>
  <si>
    <t>Weaknesses surrounding pricing calculations</t>
  </si>
  <si>
    <t>During review of pricing model and calculations we noted the followings:
Rentals are calculated including a vehicle base price and flowing additional Pricing factors like:
*	Depreciation
*	Insurance
*	Maintenance
*	Financing cost
*	G&amp;A
*	Target profit
•	It was noted that above pricing factors are not approved and there is no defined process to calculate, standardize/benchmark and document lease pricing factors that are the basis of rental amount calculations.
•	It was observed that the profit margins &amp; above pricing factors can be changed to determine the targeted rental price of the vehicles without proper written justification to change them. pricing factors can be manipulated to accommodate the client discount.
For instances, refer to Appendix # 4
•	It was observed that the lease pricing calculations were performed on manual spreadsheet. Any changes, modifications and subsequent approvals from management were performed on these manual spreadsheets.</t>
  </si>
  <si>
    <t>•	Pricing factors should be benchmarked, approved, and define in system. 
•	Any changes in pricing factors should be approved as per DOA.
•	Price calculations should be automated and approved accordingly.</t>
  </si>
  <si>
    <t>Pricing mechanism, basis, and calculation and approval authority is updated based on current business needs and market requirements and submitted to board for their approval.</t>
  </si>
  <si>
    <t>Absence of department organization structure, succession plan &amp; training program</t>
  </si>
  <si>
    <t>During our review, we noted that:
1.	Approved organizational structure for the Business Development department is not available.
2.	succession planning for key BD staff were not developed and available for review.
3.	Job descriptions and succession planning for key Business Development staff were not developed and available for review.
4.	No KPIs are defined, approved, and communicated to key employees of the Business Development department.
5.	No training has been conducted for lease sales team &amp; have not attended any professional trainings, courses or seminars relating to car rentals sales or any skills management and enhancement trainings.</t>
  </si>
  <si>
    <t>•	Management should prepare Org. structure &amp; succession plan, get it approved as per authority matrix, and communicate it to the staff
•	Management should define KPI &amp; Job description &amp; get it approved annually as per authority matrix and communicate it to the staff.
•	Department should plan and arrange trainings for their staff relating to car rental sales, office management/skill enhancement trainings.</t>
  </si>
  <si>
    <t>Business Development Manager &amp; COO</t>
  </si>
  <si>
    <t>Discussion is in progress with board to evaluate the need of business development unit in organization. Once its finalized organizational structure will be developed for this department and BD manager will hired, who will take care of the above mentioned points and resolve accordingly.</t>
  </si>
  <si>
    <t xml:space="preserve">Penalties incurred on BTC due to delay in renewal of vehicle registration and MVPI (Motor Vehicle Periodic Inspection) </t>
  </si>
  <si>
    <t xml:space="preserve">Internal audit has observed that the penalties has been incurred on BTC due to delay in renewing the registration of the vehicles.
Below are some payments related to penalties levied to BTC due to delay in renewal of vehicle registration:
Upon further analysis, we noted the followings based on data downloaded
from TAMM dated 27th January 2022 (active Fleet). There are 1,754
vehicles with expired registration causing total financial loss of SAR
243,100.
•	There are 726 vehicles with expired MVPI (Motor Vehicle Periodic Inspection) leading to financial loss of SAR 108,900 penalties (if caught by Traffic authorities). 
</t>
  </si>
  <si>
    <t xml:space="preserve">•	Management should enhance controls and periodic review process for MVPI and registration renewals. 
•	Establish accountability in case of non-renewal of MVPI and registration on timely manner without proper justification.
•	Comprehensive process and mechanism should be developed and applied for timely renewal of MVPI and registration.  </t>
  </si>
  <si>
    <t>Most of the registration and MPVI expiry violations are due to noncompliance of SASO standards in case of truck modifications. BTC can’t renew MVPI due to noncompliance of standards and ultimately registration of the trucks. Operation department has already taken the steps to replace these modifications with available alternatives as per standard requirements that will reduce the fines in future.
However, for timely renewal of registrations, MVPI and MOT card we will develop an approved process/mechanism with coordination of fleet control and HR department and applied it accordingly.</t>
  </si>
  <si>
    <t>Traffic fines incurred on BTC due to non-updating TAMM or expired User authorization in TAMM</t>
  </si>
  <si>
    <t>Internal audit has reviewed the driver information uploaded in TAMM and observed inconsistencies and irregularities in updating the driver details in TAMM.
Following are reasons of traffic fines violations incurred on BTC:
•	Time period (Authorization validity) expired in TAMM
•	Extended agreements not authorized in TAMM for extended period
•	Customer Service Representative (CSR) forgot to update TAMM with driver details
•	Expired Driving License / ID automatically deactivate TAMM authorization
•	Vehicle parked in non-parking area
•	Vehicle Insurance expired
•	Inter Branch transfers without Driver Authorization
•	Damage Vehicle Plates
•	Expired Vehicle Registration
•	Expired MVPI
It was noted that as on September 2021, there were 76 violations amounting to SR 15,400 is still pending to be charged to customers. Charges to customer doesn’t means that it is recovered from customer.
Summary of Traffic fines details during the period January 2021 to September 2021:</t>
  </si>
  <si>
    <t>•	TAMM system is weekly /biweekly updated by the department to ensure timely updating of information on the traffic system, further more accountability and responsibility should be established and investigated.
•	Process to be defined for TAMM registrations &amp; updating.
•	Ensure Sold vehicles must be updated with buyer's info. in TAMM upon delivery.
•	Ensure that all penalties charged back to the customers are collected, accepted by customer and collectability is highly probable.</t>
  </si>
  <si>
    <t>In TAMM we can’t update the driver information in case of foreign driving licence and fines will come to BTC.   Most of the penalties coming to spot renting are due to this reason, spot was almost closed except few running agreements. Further certain penalties are coming due to stolen vehicles where we cannot update TAMM.
In lease (Project Kuwait/Khafji) has certain drivers having foreign (no Saudi) driving license and not be possible to update in TAMM resultantly violations are paid by BTC and charged to client.
However, We will develop a comprehensive  policy and process to update the TAMM information on timely manner and enhance controls over periodic review with coordination of operations to ensure the minimum violations will incur in future and that will charged to client on timely basis.</t>
  </si>
  <si>
    <t>Outdated standard contract for lease customers</t>
  </si>
  <si>
    <t>Internal audit has reviewed standard contract document of lease customers. This contract/agreement is prepared &amp; signed between BTC &amp; lease customers upon finalizing the deal and delivering of vehicles for said rental period.
It was observed that this standard format of contract is outdated and was prepared in the years prior to 2000. 
Following are the various discrepancies observed:
1.	Incorrect CR number
2.	Incorrect address for head office
3.	Incorrect insurance deductible excess amount
4.	Incorrect branches addresses &amp; telephone numbers
5.	Bank guarantee/ deposit clauses not mentioned
6.	Premature &amp; termination of contract clauses not mentioned
7.	Vehicle replacement related clauses not mentioned
8.	No supporting documents representing legal department review
9.	Other terms &amp; conditions or clauses need comprehensive review</t>
  </si>
  <si>
    <t>•	Management should develop standard contract document where all terms and conditions should be revisited as per current business requirements. 
•	Management should ensure that revised version must be vetted by Legal Department to ensure the interests of BTC are adequately safeguarded.</t>
  </si>
  <si>
    <t xml:space="preserve">We are currently working on it we have sent our updated/revised terms and conditions for legal and CEO, after CEO and legal approval we will apply it accordingly.  </t>
  </si>
  <si>
    <t>Absence of mechanism for monitoring periodic maintenance of vehicles</t>
  </si>
  <si>
    <t>During review of the BD processes, it was observed that there are no proper mechanism &amp; process exist to follow-up with the customers for performing periodic maintenance of vehicles.
Periodic Maintenance (Oil &amp; filter change) should be performed on every 5,000 km &amp; 10,000 km for Diesel &amp; Petrol vehicles respectively. However, we noted that in certain instances, periodic maintenance was not performed on timely basis. 
Details of Job cards for the year 2021 are as under:</t>
  </si>
  <si>
    <t>•	Management must develop mechanism for adequate follow-ups for performing routine maintenance on timely basis.
•	Ensure compliance with customer lease agreement relating to routine maintenance and developed required SLA to facilitate and enhance client relationship.</t>
  </si>
  <si>
    <t>We will develop a mechanism of reminders to be sent for the customers for periodic maintenance, and enhance the controls over periodic maintenance by follow ups with customers.</t>
  </si>
  <si>
    <t>Lease agreements period expired but still open in system</t>
  </si>
  <si>
    <t>It was observed that there are 378 lease agreements wherein the contract period is expired/completed/matured but still Open in the system.
It was also noted that there are very old agreements since 2002 in the system which are reflecting as Open status.
Upon further analysis, we noted that there is no invoicing against these agreements and vehicles associated with these agreements are under Rented, Ready &amp; Sold status.
Details of expired agreements still open in CarPro related to previous years (ranging from year 2001 – 2020):</t>
  </si>
  <si>
    <t>•	Management should analyze and take necessary action of extending, renewing or closing of these agreements in system on immediate basis.
•	All vehicles associated to these agreements should be traced and identify the actual physical status and update the system accordingly.
•	Pending invoices if any should be generated and submit to customers of priority.
•	Pending collections of due amounts related to these agreements to be performed.
•	Management should develop a periodic monitoring mechanism to identify &amp; evaluate the long open agreements for expired periods.</t>
  </si>
  <si>
    <t xml:space="preserve">Most of the agreements are already extend for further period as requested by clients. Very old open agreements like 2003 are relating to stolen vehicles that not recovered, and agreements are not closed as we need records of invoicing for these agreements. 
Operations will review the old cases in coordinates with legal and related departments to evaluate the possibility of closing agreements as per the higher management approval and legal department advice. 
 </t>
  </si>
  <si>
    <t>Vehicle rented to customers without system agreement and invoicing</t>
  </si>
  <si>
    <t>Based on Internal audit review, it was observed that vehicles were rented to new customers without following the leasing procedures.
It was revealed that vehicles were rented to lease customers under “Pre-Lease” without opening of system agreements. Only Manual checklists were prepared, and vehicles were delivered to customers.
Based on the available data, there were 101 vehicles for the year 2021 and 30 vehicles in the year 2022 were rented to customers without agreements. Names of these customers are like SMSA, I-LINK, AlShrouq Express, Al Elm, Alphadeem, Gtel, Amwajtech etc.
As a result, following discrepancies were noted:
•	No system agreement created
•	No Monthly Invoices were generated and submitted to customers
•	No Monthly Revenue Recognition
•	Misleading status of vehicles as “Ready” instead of “Rented”
•	Maintaining manual records leads to error &amp; omissions
•	Related charges and expenses like traffic fines, penalties, insurance deductibles, Maintenance and Repair of vehicles may remain uncharged to customers.
Based on the available data for the year 2022 (Jan-Mar); Internal audit has computed the total potential impact of rental amounts remain uncharged/un-invoiced to customers was SAR 112,884 as on 31-Mar-2022.
Refer Appendix 4 for details</t>
  </si>
  <si>
    <t>•	It is strongly recommended to follow company policy &amp; procedures by creating system agreements immediately
•	Management must issue all pending invoices to related customers
•	Process &amp; System functionality to be enhanced and align to company policy &amp; procedures.</t>
  </si>
  <si>
    <t>Due to system Carpro restriction, Rental agreement (RA) can’t be open for further renting of used cars until dealer/vendor confirmation is obtained and recorded in system.
Management will coordinate with IT team to resolve the opening of rental agreements for further renting of used car as per company approved policies and procedures. Until this issue is not resolved management is keeping separate manual records of these agreements and theses are periodically reviewed, achieved and approved by regional manager and COO.</t>
  </si>
  <si>
    <t>Lease contract terms not uploaded in system</t>
  </si>
  <si>
    <t>Internal audit has observed that the contractual terms &amp; conditions of lease customers are not uploaded in CarPro &amp; financial system. 
Major clause &amp; conditions of lease contracts like credit limits, credit period, Insurance deductible amount, lease coordinator name, replacement policy, additional concierge/special services &amp; subsequent charges etc. are not uploaded in the system as per agreed contact.</t>
  </si>
  <si>
    <t>•	Management should ensure that all related terms and conditions of lease customers and contracts must be updated in CarPro and financial system.</t>
  </si>
  <si>
    <t>We will prioritize the data (compulsory and optional fields) and we will start doing it for the upcoming contract</t>
  </si>
  <si>
    <t>Lease coordinators were not assigned to lease customers</t>
  </si>
  <si>
    <t>It was observed that Lease Coordinators are not assigned to certain lease customers. 
In such scenario, delay in post-sale related services like timely TAMM authorization, periodic maintenance, registration &amp; Motor Vehicle Periodic inspection (MVPI) renewal, replacement, follow-ups, coordination, and other related activities remains uncertain and leads to customer disputes &amp; dissatisfaction
Any follow-ups, monitoring, tracking of these customers were performed as per need basis.
Below mentioned are Sample Lease customers without Lease coordinators:</t>
  </si>
  <si>
    <t>•	Management must ensure that all customers must be assigned with Lease coordinators.
•	Relevant Lease coordinators should be responsible to perform all post-sales related services on timely basis.
•	Must develop KPIs and monitoring mechanism of Lease Coordinator performance.</t>
  </si>
  <si>
    <t>Lease coordinator are assigned to all clients in central region. In eastern and western regions management will ensure the assignment of lease coordinator to each client for more efficient operations.</t>
  </si>
  <si>
    <t>Marketing</t>
  </si>
  <si>
    <t>Absence of marketing policies &amp; procedures</t>
  </si>
  <si>
    <t>During our review, we noted that the policy &amp; procedures for Marketing and Call Centre is not in place.
For effective and efficient operations and management, complete set of policies and procedures in line with the overall business strategy to be documented and approved as per authority matrix. Such policies may include (but are not limited to) areas relating to:
•	Customer care policy
•	Marketing/promotion policy
•	Pre and post evaluation mechanism for marketing campaigns 
•	Product concept
•	Defined branding guidelines
•	Marketing tool/channels
•	Budgeted and non-budgeted items
•	Criteria initiating marketing campaigns 
•	Prohibited marketing materials
•	Back up of customer calls/quality control review process.</t>
  </si>
  <si>
    <t>Comprehensive policies and procedures manual should be developed, approved, implemented by the management and updated on periodic basis.</t>
  </si>
  <si>
    <t>Comprehensive marketing and call centre policy and procedures will be developed, approved and will be applied accordingly.</t>
  </si>
  <si>
    <t>Absence of approved marketing strategy and budget plan</t>
  </si>
  <si>
    <t>During our review the following were noted:
•	Absence of approved and comprehensive marketing strategy for BTC.
•	Absence of marketing plan and Budget for 2021.
•	Absence of marketing calendar showing all events/campaigns for 2021.
Further we noted that Marketing and Budget plan for the year 2020 is available but was not approved.</t>
  </si>
  <si>
    <t>•	Marketing head should define and frame marketing strategy and the same to be approved by CEO.
•	Department should develop annual approved marketing plan and annual calendar in line with the Business Plan of the company.
•	Department should develop annual budget which includes justification/rationale for budgeted amount considered for every events/campaigns. 
•	Annual/Quarterly marketing budgets should be automated and tracked for any future variances.</t>
  </si>
  <si>
    <t>Marketing strategy, budget and marketing calendar will be developed, approved, and applied accordingly.</t>
  </si>
  <si>
    <t>Significant weaknesses surrounding social media activities.</t>
  </si>
  <si>
    <t>During audit review, it was noted that BTC is using Social Media platforms like Facebook and Tweeter for marketing &amp; promotions. However, we noted that important controls are not in place on the areas/activities as follows:
•	Defined channels/ platform
•	Budget and allocations
•	Goal and Objective for each channel
•	Content strategy / policy
•	Target audience
•	Responsible official and their skill level
•	Profile consistency
•	Monitoring and Mechanism
•	Feedback and comment handling</t>
  </si>
  <si>
    <t>Marketing department should develop required comprehensive controls and guidelines but not limited to the above highlighted areas.</t>
  </si>
  <si>
    <t xml:space="preserve">Most of these controls are already in place but not documented, will enhance these controls relating to social media and will document them in social media policy as a part of overall marketing policy and procedures. </t>
  </si>
  <si>
    <t>Absence of competition and marketing trend analysis</t>
  </si>
  <si>
    <t>During Audit review, the below were noted:
•	Absence of marketing trend analysis conducted and performed to understand market trends &amp; demands and sustain competitive advantage.
•	Absence of market share review, customer base and industry analysis
•	Absence of competition analysis, policy &amp; practice</t>
  </si>
  <si>
    <t>•	Marketing department should perform market trend analysis, market share review and customer base and industry analysis to understand the market and industry trends &amp; customer demands.</t>
  </si>
  <si>
    <t>Market trend analysis, market share is mainly more relevant to spot business and will be considered if individual rental (Spot) has been activated again.  For lease business we will consider the possibility, availability of relevant data and resources required to perform the market trend analysis, market share and industry analysis.</t>
  </si>
  <si>
    <t>No mechanism for complaint handing of lease customers</t>
  </si>
  <si>
    <t>During IA review it was noted that:
•	There is no mechanism for lease customer complaints and their root cause analysis 
•	There is no complain record available and provided for year 2021 for lease customers.</t>
  </si>
  <si>
    <t>•	All customer complaints/calls should be recorded and resolved on timely basis.
•	Calls should be reviewed by contact center head on a monthly basis and root because analysis should be performed on customer complaints. Outcome of root cause to be discussed with head of department and appropriate action should be taken</t>
  </si>
  <si>
    <t>Lease complaints are being handled by the operation department. We will develop a mechanism to record, and root cause analysis and periodic monitoring of complaints.</t>
  </si>
  <si>
    <t>Absence of branding, marketing and public relation activities</t>
  </si>
  <si>
    <t>During IA review it was noted that no such branding and marketing activities are carried out for BTC:
•	Partnership/sponsorship of industry related government and private press and events
•	Advertisements in industry related magazine/brochures
•	Corporate social responsibility activities.</t>
  </si>
  <si>
    <t>Marketing Department should carry out marketing and branding activities on periodic basis, to show company’s existence in the market and to respond to changing dynamics of customer demand and community attention.</t>
  </si>
  <si>
    <t>Marketing Manager</t>
  </si>
  <si>
    <t xml:space="preserve">Partnerships/sponsorships and CSR normally requires a cost; we are placing advertisements in magazines where it is without cost. We will consider it in marketing budget 2022 and if relevant budgets are approved, we will participate in such events in future. </t>
  </si>
  <si>
    <t>Absence of control over marketing material and activity</t>
  </si>
  <si>
    <t>During IA review it was noted that:
•	There is no control mechanism to pre-approve marketing material published on social and other media.
•	There is no defined practice for legal and compliance review of marketing material</t>
  </si>
  <si>
    <t>•	Marketing &amp; communication material should be authorized &amp; approve
•	Training should be given to marketing team on which materials are allowed or prohibited to be published.
•	List of prohibited material should be maintained and updated.
•	Marketing materials should be published through head of marketing to be checked for any prohibited materials and to be approved afterwards.
•	Marketing material should be reviewed by legal and compliance department</t>
  </si>
  <si>
    <t xml:space="preserve">Department will develop a control mechanism for review and approval of marketing material and activities, containing that Where marketing activity and material involved an offer having financial and legal impact that will be get approved from finance and legal departments as well.  </t>
  </si>
  <si>
    <t>Absence of lease customer survey</t>
  </si>
  <si>
    <t>During IA review it was noted that no customer survey (online/phone/form) is carried out for lease customers. For improving customer service and building customer relationship, such surveys should be carried out including (but not limited to) below areas:
•	Quality of Service
•	Timeliness of Service
•	Employee behavior
•	Timely response and resolution of complaints
•	Customer comments on improving services
•	Recommending BTC to other business partners/group companies.</t>
  </si>
  <si>
    <t>•	Customer survey form should be designed and developed and the same should be approved and applied.
•	Periodic Customer survey should be carried out by marketing department for better understanding of customer needs and priorities to improve customer service and management decision making for business growth.</t>
  </si>
  <si>
    <t>A mechanism will be developed and applied to perform, monitor, and record the lease customer survey, and correction actions taken based on survey results.</t>
  </si>
  <si>
    <t>Absence of governance mechanism for contact/call center</t>
  </si>
  <si>
    <t>During Audit of call centre, we noted that there is no defined mechanism to control and monitor call centre activities. The following shortfall are identified:
•	Absence of approved written Script.
•	Absence of quality assurance review for recorded calls.
•	Absence of agent trainings.</t>
  </si>
  <si>
    <t>•	Contact centre staff must be provided with scripts for different scenarios. 
•	Periodic assessment should be done, and new scripts/changes in existing scripts should be carried out.
•	Business continuity plan and procedure must cover contact centre BCP locations, call trees and emergency procedures for contact centre
•	There must be regular review of customer calls that covers, nature of calls, action taken, level of customer satisfaction regarding the outcomes of calls, process efficiencies if any, and SLA near misses and breaches</t>
  </si>
  <si>
    <t>A written approved script is under development; we will also start monitoring the recorded calls for quality assurance on periodic basis.</t>
  </si>
  <si>
    <t>Absence of approved marketing and call center dept. Org. Structure</t>
  </si>
  <si>
    <t>During IA review, it was noted that:
1.	Approved organizational structure for marketing department is not available
2.	Succession planning for key Marketing staff were not developed and available for review.
3.	No KPIs are defined, approved and communicated to key employees of the Marketing department.
4.	No proper specialized training program was developed and applied</t>
  </si>
  <si>
    <t>•	Management should prepare org. structure, KPI &amp; Job description &amp; get it approved as per authority matrix, and communicate it to the staff
•	Annual training program should be defined and followed to ensure adequate training is given to marketing the team 
•	Staff must be trained on regulations/norms relating to, and impacting their area of service</t>
  </si>
  <si>
    <t>Organization structure for marketing department will be developed and approved from management. KPIs and succession plan will also be developed and applied accordingly. An annual staff training programme will be developed and if it is approved from the management it will be executed accordingly.</t>
  </si>
  <si>
    <t xml:space="preserve">Absence of comprehensive policies &amp; procedures </t>
  </si>
  <si>
    <t>For effective and efficient operations and management, complete set of policies in line with the overall business strategy to be documented and approved as per authority matrix. Such policies may also include (but are not limited to) following areas relating to:
•	Arm-length transactions process (Related parties’ sales)
•	Bidding Lot Formation process
•	Warehouse Policy
•	Physical verification of stock vehicles
•	Reporting Framework
•	Used car aged stock criteria and related procedures</t>
  </si>
  <si>
    <t>•	Comprehensive policies and procedures manual should be developed, approved, implemented, and updated on periodic basis.
•	Policy &amp; procedures should also include the process related to sale to group companies/subsidiaries</t>
  </si>
  <si>
    <t xml:space="preserve">We are currently working on draft policy and procedures for Used Car Department. It will be finalized, approved and subsequently applied accordingly. </t>
  </si>
  <si>
    <t>Absence of approved job description &amp; KPIs</t>
  </si>
  <si>
    <t>During IA review, it was noted that:
1.	Job descriptions for key Used Car staff were developed but not approved &amp; communicated to employees.
2.	No KPIs are defined, approved, and communicated to key employees of the Used Car department.</t>
  </si>
  <si>
    <t>•	Management should define KPI &amp; Job description &amp; get it approved as per authority matrix and communicate it to the staff accordingly.
•	Management should also develop and implement succession plan for key employees of the department</t>
  </si>
  <si>
    <t>Department will develop Job descriptions and KPI for employees, get it approved from the Management and acknowledged from relevant staff.</t>
  </si>
  <si>
    <t>Absence of charter and governance of used car sales committee</t>
  </si>
  <si>
    <t>We noted that the Charter of UCS Sales Committee is not available. Roles &amp; responsibilities of committee members, approval limits, process of insertion &amp; removal of the committee members are not defined.
It was noted that 3 out 5 committee members of Used Car Sale Committee have been left the organization for more than 6 months. However, new members have been added to the UCS committee but not documented &amp; formally approved by the management.
It was also noted that minutes of the meetings were not recorded for all sales deals.</t>
  </si>
  <si>
    <t>•	A comprehensive Used Car Sales Committee Charter should be developed and approve as highlighted above.
•	New/Active and experienced members should be added in the UCS committee after getting formal approval for higher management.
•	Minutes of all the sales meeting should maintained by the UCS department.</t>
  </si>
  <si>
    <t>Management will nominate/form/establish two formal committees (Bid Opening Committee &amp; Used Car Sale Approval Committee) with all active members.
Management will also ensure to develop comprehensive Used Car Sales Committee Charter and maintaining of all MOMs.</t>
  </si>
  <si>
    <t>Financial loss due to batch-wise sale instead of single vehicle at highest prices.</t>
  </si>
  <si>
    <t>We noted that used car sales bids were awarded based on the highest quoted cumulative price of batch instead of highest prices quoted against each vehicle. 
Internal audit has performed comparative analysis of all the bidding executed during the period January 2020 to August 2021 and observed that the bids were awarded based on highest quoted price of full batch instead of individual vehicle wise highest quoted prices.
Due to this business practice, there is a loss of SAR (997,297) and SAR (409,881) for the years 2020 &amp; 2021 respectively as summarized in below table:</t>
  </si>
  <si>
    <t>Management should consider used car sale based on Single vehicle-wise highest price instead of full batch highest price and should develop a monitoring mechanism to achieve the highest possible prices in the best interest of the company.</t>
  </si>
  <si>
    <t xml:space="preserve">Based on discussion with higher management, it was decided that based on the lot conditions/ formation we will follow the recommended procedure along with current practice whichever is in the best interest of company.  </t>
  </si>
  <si>
    <t>Anomalies identified in internal used car evaluation process</t>
  </si>
  <si>
    <t>Internal audit has reviewed Used car evaluation checklist on sample basis and identified following discrepancies considering absence of independent evaluation:
1.	Used Car Evaluation form is not in line with the evaluation requirements as it highlights more towards rental inspection criteria rather than evaluation criteria for used vehicle. 
2.	It is not comprehensive and does not include following important evaluation criteria/parameters (but not limited to):
•	Engine condition
•	Gear Box condition
•	Air Conditioner
•	Body condition (Repainting)
3.	No systematic point-based scoring/grading mechanism to determine the actual category of the vehicle (A, B, C &amp; F) as defined in their policy and procedures of used car department.
4.	No supervisory/second review and maker-checker control mechanism in place to validate the evaluation.
5.	Certain forms are identified are not properly filled and signed, incorrect categorization of vehicles.
Refer Appendix 6 for further details</t>
  </si>
  <si>
    <t>Management must ensure that the above identified gaps should be covered with adequate documentation and process enhancement.</t>
  </si>
  <si>
    <t xml:space="preserve">As recommended, comprehensive evaluation of used car vehicle including score based system requires certain technical equipment having material cost. </t>
  </si>
  <si>
    <t>Non-compliance of authority matrix</t>
  </si>
  <si>
    <t>It was observed that there is non-compliance of approved Authority matrix for preparation &amp; approval of Used cars pricing matrix.
Authority matrix require to develop and approve vehicle pricing matrix on monthly basis whereas it was not prepared, approved, and applied by Used Car Department.
Screenshot of related section of Authority matrix is as under:</t>
  </si>
  <si>
    <t xml:space="preserve">•	Management should prepare Used Vehicle Pricing Matrix on monthly basis for all stock vehicles, get it approved, and applied accordingly. </t>
  </si>
  <si>
    <t>Currently we are preparing the Sale Pricing matrix on yearly basis based on retirement plan for operational vehicles, however we will discuss with higher management the feasibility and periodicity of the same. Based on the instructions, it will be implemented accordingly.</t>
  </si>
  <si>
    <t>Aged vehicles stock lying in warehouse</t>
  </si>
  <si>
    <t>Internal audit has reviewed the used vehicle stocks currently available at Warehouses dated 08th Nov 2021
It was observed that there are 118 vehicles available in Used Car inventory. 18 vehicles with higher ageing ranging from 91 to 1170 days being identified &amp; available in warehouse locations. 
Out of which 1 vehicle is lying more than 3 years. Ageing analysis details are as under:</t>
  </si>
  <si>
    <t>•	Stock monitoring reports should be maintained &amp; shared with management on monthly basis identifying the vintage stocks.
•	Used Car department should ensure prioritizing the old stock for early sales (on FIFO basis)</t>
  </si>
  <si>
    <t>CLOSED</t>
  </si>
  <si>
    <t>Used car stock aging report is submitted to higher management on monthly basis and we are using FIFO basis for used car sales. Currently there are no aged vehicles in the used cars stock for sale except 1 vehicle which is in the name of Alissa family. All the vehicles in stock yard for sales are under 90 days.
IA Remarks: Validated and closed.</t>
  </si>
  <si>
    <t>Vehicle sold but ownership not transferred</t>
  </si>
  <si>
    <t>As per approved process of Used car sales, transfer of ownership must be performed within 1 month from the date of Sales Contract.
Internal audit has performed review of invoiced vehicles, but ownership not transferred until 30th October 2021 and observed that 940 invoiced vehicles are pending for Ownership transfers. 
Year-wise Used car sales details for Pending Ownership transfers are as under:</t>
  </si>
  <si>
    <t>•	Periodic review of all invoiced vehicles with pending ownerships to be performed and share with management.
•	Develop a mechanism to ensure that no delays to be occur in transferring ownership of vehicles to customers after invoicing.</t>
  </si>
  <si>
    <t>We are in continuous follow-up with the customers for transferring of sold vehicles to customers, have also requested major customers like Autostar &amp; Insurance companies
We have also raised complain to BTC Legal department for traffic circulars (i.e., TAAMIM) against non-contactable customers pending for ownership transfers and so far we made traffic circulars on 20 vehicles and work is underway on the rest of the cars.
For very old cases, we will coordinate with higher management and relevant departments to resolve on timely basis.</t>
  </si>
  <si>
    <t>Used car standard contract not vetted by legal</t>
  </si>
  <si>
    <t>Internal audit has performed review of standard sales contract document of used car. This contract/agreement is prepared &amp; signed between BTC &amp; Used Car Customer upon invoicing and final sale of used vehicles.
It was observed that this standard version of sales contract was not vetted by the legal department to protect the company interests.</t>
  </si>
  <si>
    <t>•	Management should develop and implement a mechanism where; all standard contracts should be reviewed by the Legal Department to ensure the interests of BTC are adequately safeguarded.</t>
  </si>
  <si>
    <t>We will coordinate the Legal department for the review and approval of the standard contract currently being followed. Any suggestions and clauses as per legal instructions will be incorporated and implemented accordingly.</t>
  </si>
  <si>
    <t>Irregularities identified in used car sales contracts/agreements</t>
  </si>
  <si>
    <t>Internal audit has reviewed Sale contracts/agreements on sample basis (14 sales bidding comprise of 686 units and amounting to SAR 20.86 million) for the years 2020 &amp; 2021 and observed following discrepancies</t>
  </si>
  <si>
    <t>•	Management must ensure that the above identified gaps should be covered with adequate documentation at the time of sales.</t>
  </si>
  <si>
    <t>We will review all the highlighted instances and enhance the process of documentations and archiving to collect and document all the necessary documents accordingly to ensure no such discrepancies occur in future.</t>
  </si>
  <si>
    <t>Absence of periodic management reporting</t>
  </si>
  <si>
    <t>During our review of the Used Cars process, we noted that there is no defined mechanism for periodic performance evaluation, monitoring &amp; reporting in place.
Used Cars department is not preparing &amp; presenting the periodic performance monitoring reports (monthly/quarterly/annually) to the management. These reports may include but are not limited to the following:
1.	Used Car Sales Report
2.	Used Car Stock Report with Ageing
3.	Used car status report
4.	Planned sale vs actual sales report.
5.	Customer-wise Sales Concentration Report
6.	List of vehicles invoiced but undelivered to customers with ageing
7.	Pending ownership transfer vehicles
8.	Monthly incentive report.</t>
  </si>
  <si>
    <t>•	A formal, documented performance measurement &amp; monitoring process, including at least the above listed reports should be developed to enable assessment of the efficiency and effectiveness of the Used Car Department, to support management decision making.</t>
  </si>
  <si>
    <t>Most of the reports/data are already shared with the management on monthly basis or when requested by management.  We will prepare and submit the required necessary reports to higher management on periodic basis.</t>
  </si>
  <si>
    <t>Outdated credit policy and procedures</t>
  </si>
  <si>
    <t>Based on review of Credit policy and procedure, the following points were noted:
•	Credit policies are outdated as no revision done since 2015 and are not in line with current business practices and requirements. 
•	Credit approval limits given in existing policy are inconsistent with approved DoA: 
Below is the instance:</t>
  </si>
  <si>
    <t>Comprehensive credit policies and procedures which are in line business practice, and DOA should be developed, approved, implemented and updated on periodic basis.</t>
  </si>
  <si>
    <t>We already updated and finalized credit policy and its submitted to executive committee for their review and approval and BOD approval accordingly.</t>
  </si>
  <si>
    <t>Non adherence of credit policy and procedures</t>
  </si>
  <si>
    <t>During Audit review it was noted that approved credit policy and procedures are not being adhered.
As per chapter 11 of credit policy, certain documents are required from Lease credit customers for evaluation and approval of credit. We reviewed 10 sample files of credit customers and noted the following discrepancies:
1)	In 10/10 customer’s files, 3-month advance payment and 8-month promissory notes were not obtained and attached.
2)	In 10/10 customer’s files, 3 years audited financial statements are not obtained and reviewed.
3)	In 5/10 customer’s files, 6-month bank statements were not obtained and reviewed.
4)	In 6/10 customers Bayan credit bureau clearance document were not attached in files.
5)	In 4/10 files, Owner ID’s were not obtained and attached in files.
6)	In 4/10 files, National address and location Maps were not obtained and attached in files.
7)	In 7/10 Customer files, customer site visit report was not found.
8)	In 3/10 files, VAT certificates were not obtained.
9)	In 2/10 files, Credit applications were not signed by customers.
10)	In 5/10 customer’s files, Credit account letter were not found.
11)	In 5/10 customer’s files, Company founding Contract were not obtained and attached.
For details of above instances, please see Appendix 1 &amp; 2
Further, we noted that credit customer required documents checklist is not in line with current business requirements and comprehensive as below documents are not included:
1)	Bayan Credit bureau
2)	Bank Guarantee</t>
  </si>
  <si>
    <t>•	Credit policy and procedures must be followed in order to have controls in place and avoid any financial implications.
•	Credit checklist should be updated in line with business practice and requirements and comprehensive.
•	All the required documents should be obtained, reviewed and attached in credit files of lease customers for any future reference.</t>
  </si>
  <si>
    <t>Most of the above shortfalls are approved by CEO as exception at the time of credit approval and Certain client refused to provide certain documents at the time of credit assessment.
Updating the credit checklist, to make it more comprehensive, relevant and practical, is under process and submitted to executive committee as part of credit policy for the review and approval. After approval it will be applied accordingly.</t>
  </si>
  <si>
    <t>Non adherence of collection policies and procedures</t>
  </si>
  <si>
    <t>Based on IA review, it was noted that Collection policies and procedures are not being adhered in certain areas.
As per collection policy section 5.3 and 5.4 as copied below, if payment is not made in 90 days and in an additional 30 days, then this account shall be transferred to legal department.
We noted that, Dome Water Co. has a balance of SAR 233,705 outstanding for more than 6 months but still the customer is not transferred to legal dept.</t>
  </si>
  <si>
    <t>Collection policy and procedures must be  followed in order to have controls in place and avoid any financial implications.</t>
  </si>
  <si>
    <t>-	For the customer Dome Water, they submitted schedule payment letter to settle all the pending outstanding after receiving financial funding from the owner.
-	The current credit policy is not in line with the business practice and requirements, revision and updating is under process and updated credit policy is under review of executive committee.</t>
  </si>
  <si>
    <t>Long aged account receivable and manual aging report</t>
  </si>
  <si>
    <t>During IA review, of Receivable ageing the below long aged receivables were noted that requires immediate management attention for review and sufficient provisioning:
1.	As at 30 Nov 2021, accounts receivable balance one year and above is 52.18 M SAR, which is 48% of the total receivables balance of 109.5 M SAR.
On the review of Customers with highest balances, for 3 years and above, it was noted that:
•	There are two clients for which there are no supporting documents to proceed with legal case.
•	Al Aman Co. is bankrupt
2.	Accounts receivable ageing is prepared manually on excel sheet, as there is no system generated aging report available for any specific required point of time.
•	There are certain errors identified in manual aging report provided for IA review. Customers names are not matching with their code and outstanding balances. Instances are as under:</t>
  </si>
  <si>
    <t xml:space="preserve">•	Based on the above findings Receivable balances should be reassessed by finance department with assistance of higher management and legal department, and should be considered for write off accordingly.  
•	Accounts Receivable ageing report should be generated through system for accuracy and reliability. </t>
  </si>
  <si>
    <t>All longed aged account receivables are under legal proceedings, Finance department with the coordination of higher management and legal department will review the receivables for their possibility of recovery. And will take the appropriate actions with the approval of higher management about the long aged account receivables.
For B0007530, it is an accidental error happened with only one customer. Finance department will coordinate with the IT department to generate system based aging report to avoid such errors and omissions.</t>
  </si>
  <si>
    <t>Improper accounting treatment of customer receipts, building up material unnecessary account balance.</t>
  </si>
  <si>
    <t>During our review, IA noted the followings:
•	A trial balance account # 110301104 “Unallocated Receipts” is used to record the receipts form customers as intermediary account while receipts are not recorded in Receivables account as normal accounting procedure.  
Balance in Unallocated receipts accounts as at 30 Nov. 2021 is as under:
•	The name of account is misleading as unallocated receipts, whereas at submodule level these receipts are recorded based on individual known customers, and it will be building up huge balance that will not ends up.
•	Further, there is no receipts recording in CAR Pro in case of lease rentals.</t>
  </si>
  <si>
    <t>•	Receipts should be matched against related invoices to allocate against invoices in Customer Receivable account in a regular manner.
•	There should be no such middle account like Unallocated receipts for customer receipts.
•	Receipts should be recorded in bank accounts and then allocated to respective Customer receivables account.</t>
  </si>
  <si>
    <t>This issue is resolved as the implementation of new system Microsoft Dynamic.  We stop this practice and new system and trail balance is not showing and using such type of intermediately account.
IA Remarks: Validated and Closed.</t>
  </si>
  <si>
    <t>High debtor turn over days &amp; receivables to sales ratio</t>
  </si>
  <si>
    <t xml:space="preserve">During IA review, it was noted that, 
1.	Company has a high Receivable to Sales ratio of 29% in 2019 and 42% in 2020. Whereas the industry competitors Budget and Theeb has the same ratio for 2019 and 2020 ranging from 14% – 18%.
The Below table show the detail calculation and industry comparison: 
2.	Further noted that the average number of days to receive payments against outstanding invoices are very high, having negative effect on company’s cash flow and liquidity. The avg. debtor turnover days in 2019 were 108 days and in 2020 it increased to 138 days. Whereas the industry competitors Budget and Theeb have average debtor days ranging from 49 – 60 days.
The Below table show the detail calculation and industry comparison: </t>
  </si>
  <si>
    <t>•	Management should implement approved collection policy more actively and define mechanism to reduce collection period of invoices to a minimum level.</t>
  </si>
  <si>
    <t>Best Management Choose to focus on Corporate long lease which result in collecting 105% of 2021 Invoices. The above ratios are not favourable because of old accounts that are already transferred to legal. Old business accounts need to reassessed with coordination of higher management and legal department and corresponding appropriate actions should be taken to clean the receivables with the approval of higher management.</t>
  </si>
  <si>
    <t>Absence of customer receivable monitoring mechanism</t>
  </si>
  <si>
    <t>During IA review, the following were noted:
•	Customer statement of account cannot be generated through system.
•	Monthly /periodic statement of accounts are not sent to customers.
•	No practice to obtain balance confirmation from key customer on periodic basis, and to prepare reconciliations in case of any difference</t>
  </si>
  <si>
    <t>•	Statement of account should be generated through system instead of manually.
•	Individual customer statement of account should be generated through system and will be distributed to key customers on monthly basis. 
•	Periodic balance confirmations should be circulated and obtained for key customers. Any differences identified should be reconciled on timely basis.</t>
  </si>
  <si>
    <t>This is one of our challenges on the old system due to the system weaknesses. Which putting an extra burden on the finance &amp; collection department.
Finance department will coordinate with IT department for issuance of system based statement of account and will start circulating statement of accounts with balance confirmation requests to key customers for validity of account receivable balances on half yearly basis.</t>
  </si>
  <si>
    <t>Delay in lease rental invoicing</t>
  </si>
  <si>
    <t>During IA review of lease rental invoices, it was noted that there is delay ranging from 0-135 days in monthly invoicing to customers for lease vehicles. 
Below are the instances:</t>
  </si>
  <si>
    <t>Management should develop and apply a mechanism to invoice customers on timely manner and monitor it accordingly.</t>
  </si>
  <si>
    <t>The delay in the invoicing because of the agreements for the vehicles not open in the system and records are maintained on manual basis separately. The Procurements department refuse to give dealer confirmation in the system. This point is very important and finance department has already highlighted this issue with higher management to resolve it on priority basis we are following this with higher management to resolve.</t>
  </si>
  <si>
    <t>Record to Report</t>
  </si>
  <si>
    <t>Absence of finance department policies and procedures.</t>
  </si>
  <si>
    <t>During our review we noted the absence of finance departmental policies and procedures. Moreover, existing policies and procedures are outdated.
 Financial policies and procedures include (but not limited to): 
•	Accounting policies &amp; procedures
•	Budget policies &amp; procedures
•	Accounts receivable and provision policy &amp; procedure
•	Accounts payable policy &amp; procedures 
•	Fixed asset policies &amp; procedures
•	Financial reporting policies &amp; procedures
•	Dividends policies &amp; procedures
•	Revenue assurance policy
•	Cost management policies &amp; procedures
•	Periodic closure of accounting system
•	Treasury &amp; fund management policy &amp; procedures
•	Costing and pricing policy &amp; procedures  
•	Vat &amp; zakat policy &amp; procedures
•	Credit and collections policy &amp; procedures
•	Petty cash policy and procedures
•	Chart of Account maintenance
•	Access authorization
•	Manual entries
•	Intercompany cost allocation 
•	IFRS changes &amp; GAP Analysis
•	Mapping TB to financial statements
•	Communication with regulator
•	Archiving and retention
•	BCP and DRP</t>
  </si>
  <si>
    <t>•	Management should develop, update &amp; communicate comprehensive policies and procedures that support accurate, efficient, and timely reporting covering all business aspects along with the financial department activities that follow applicable accounting standards, laws, and regulations.
•	Management should document the updating procedures for the finance manual and refresh on an annual basis at the minimum.
•	Management should update the accounting policy manual to comply with IFRS and cover the accounting related aspects originating from all processes within the organization.</t>
  </si>
  <si>
    <t xml:space="preserve">An external consultant has been hired by AAGH Group management for the development of policies and procedures, same will be approved and applied accordingly. </t>
  </si>
  <si>
    <t>Inadequate financial closing checklist and cutoff| period closure</t>
  </si>
  <si>
    <t>During review of the financial statement closing procedures, it was noted that there is no approved checklist and related procedures that is being used by the management for monthly, quarterly, and annually closing.
However, an email instruction was provided to staff by chief accountant for monthly closing and we noted that it is limited to GL accounts and does not include critical items such as:
	IFRS checklist (including all applicable IFRS, accrual, fixed asset, revenue, presentation of FS, disclosure, Subsequent events review process…etc.)
	Journal entry review process (including manual entries, Systematic entry, posting, sequences, authorized person…etc.)
	Trial balance review process and closing procedures (including suspense accounts, clearing accounts, error accounts, long aged accounts, comparison with previous period... etc.)
	Written and approved procedures for cutoff| period closure.
	Written and approved escalation procedures to ensure compliance with the timeline.
	Agreement with ERP and IT team regarding closure/freeze of general ledger with regarding the financial period cut-off/close
	Timelines are mentioned for each closing activity.</t>
  </si>
  <si>
    <t>Management should adopt a comprehensive approved closing checklist to mitigate inaccurate reporting, ensure proper closing of books and ensure adherence to local GAAP (IFRS).</t>
  </si>
  <si>
    <t xml:space="preserve">Financial closing checklist will be developed along with the policies and procedures, and IT will be aligned for cutoff date &amp; closure related controls. Same will be approved and applied accordingly. </t>
  </si>
  <si>
    <t>Absence of regulatory compliance procedures</t>
  </si>
  <si>
    <t>During review it was not that there is no defined procedures and assignment of responsibility to ensure regulatory compliance.
There is no mechanism in place to track and monitor new and changes to existing regulations, which impact finance processes like regulatory reporting.</t>
  </si>
  <si>
    <t>•	Management should develop and implement a comprehensive approved procedure for finance related regulatory requirements and compliance.
•	Management should ensure assigning the responsibility to dedicated staff for compliance to regulatory requirements.</t>
  </si>
  <si>
    <t>Regulatory related compliances like IFRS, VAT, GAZT etc. are taken care by external parties like external auditors, advisories, Group Management etc. 
However, Management will ensure that Policy &amp; procedures related to regulatory changes will be develop as a part of overall policy &amp; procedures of finance department.</t>
  </si>
  <si>
    <t>Absence of approved escalation procedures</t>
  </si>
  <si>
    <t xml:space="preserve">During review of financial statement closing procedures, it was noted that there is no written and approved escalation procedure in place that is being used by the management for monthly, quarterly, and annually closing.
Management should develop comprehensive escalation procedure including timelines, roles, and responsibilities, to be followed in case of delay for all closing activities related to FS preparation i.e., review of IFRS, accruals, fixed asset, revenue, presentation of FS, disclosure, Subsequent events, Journal entry, Trial balance etc. </t>
  </si>
  <si>
    <t>Management should develop, approve, and implement escalation procedure, that is, to be followed in case of delay for all closing activities related to FS preparation to ensure completion within the timelines agreed.</t>
  </si>
  <si>
    <t>Escalation procedures will be covered under Policy &amp; Procedures assignment to external consultant. Same will be approved &amp; applied accordingly.</t>
  </si>
  <si>
    <t>Absence of department organization structure</t>
  </si>
  <si>
    <t>During our review, we noted that:
1.	Approved organizational structure for the Finance department is not available.
2.	Approved Job descriptions plan for key Finance Department staff were not developed and available for review.
3.	No KPIs are defined, approved, and communicated to key employees of the Finance Department.</t>
  </si>
  <si>
    <t>•	Management should prepare Org. structure &amp; Succession plan get it approved as per authority matrix and communicate it to the staff.
•	Management should define KPI &amp; Job description &amp; get it approved annually as per authority matrix and communicate it to the staff.</t>
  </si>
  <si>
    <t>Department with the coordination of HR will develop organizational structure, job description and KPIs of the department key employees.</t>
  </si>
  <si>
    <t>Absence of succession plan and staff training</t>
  </si>
  <si>
    <t>During our review, we noted that:
1.	Approved succession plan for key Finance Department staff were not developed and available for review.
2.	No training has been conducted for Finance team &amp; have not attended any professional trainings, courses or seminars relating to IFRS changes, VAT and Zakat or any skills management and enhancement trainings.</t>
  </si>
  <si>
    <t>•	The management should develop a detailed comprehensive succession plan that should address, at minimum, the following: 
	The key positions and functions to be covered. 
	The timeliness of coverage during the transition period. 
	The positions and time that could temporarily cover for the vacant positions. 
	Skills and qualifications required for each position.
•	Department ensure to develop a comprehensive training program for employees, training calendar is reviewed by the Departmental Head and approved by the senior management and training budgets are prepared based on the annual training calendar</t>
  </si>
  <si>
    <t>Departmental succession planning will be prepared and applied.
No training plan available as of now and management is not in a position to arrange external training programs.
However, relevant on-job trainings will be arranged/documented for finance staff.</t>
  </si>
  <si>
    <t>Pending Insurance Claims</t>
  </si>
  <si>
    <t>During our review, it was noted that there are pending receivable insurance claims amounting to SAR 2.6 million for the previous years. These claims are related to the Med gulf Insurance company from the period 2020 – 2022.</t>
  </si>
  <si>
    <t>•	Management should ensure rigorous follow-ups performed by Insurance dept. to settle pending claims for collection.
•	Ensure periodic review by management of all pending claims and progressive status.</t>
  </si>
  <si>
    <t>We have escalated all pending Insurance receivables to Legal department dated 27-Mar-2022 and case is with them for further action. Follow-ups will be performed periodically.</t>
  </si>
  <si>
    <t>Inactive vehicles insured under new policy inception</t>
  </si>
  <si>
    <t xml:space="preserve">During audit review we noted the following
1.	It was observed that Inactive vehicles were insured under the new policy for the period March 2022 - Feb 2023. These vehicles belong to following statuses in system like Sold, Stolen, &amp; Sale Cycle 2 &amp; 3 (under Used Cars).
2.	It was also noted that there are very old vehicles ranging from year 2006 to 2015 were insured under the new policy. These vehicles belong to following statuses like Ready, Rented &amp; Out of Service.
</t>
  </si>
  <si>
    <t>•	Management should adopt a comprehensive procedures of reconciling active fleet records with physical availability prior to insuring the vehicles
•	Maker-Checker policy &amp; FPR (First Person Responsible)/SPR (Second Person Responsible) to be introduced to perform this activity with at most efficiency &amp; reliability.
•	Reconciliation to be performed on periodic basis between active fleet and insured vehicles</t>
  </si>
  <si>
    <t>We will review all the highlighted vehicles in current policy and delete insurance accordingly. We will also check the physical availability of old vehicles and take necessary action. Going forward, we will reduce the cutoff period for insurance of the vehicles during inception and will share the latest fleet to insurance company.</t>
  </si>
  <si>
    <t>Delay in financial statement preparation</t>
  </si>
  <si>
    <t>During our review of the process of financial statements preparation, we noted that there is a significant delay in closing the accounting period after issuing the financial statements.
For example, financial year ended 31 December 2020 was closed in the system during the month of August, where the financial statement was issued on 6th May 2021.
It was also noted that chief accountant has right to reopen the closed period without approval of CFO/Finance Manager.</t>
  </si>
  <si>
    <t>•	Management should close the financial period at the financial statement’s issuance date in the ERP.
•	Opening of closed period must be subject to approval of CFO.</t>
  </si>
  <si>
    <t>As we have new system Dynamics 365 which is familiar with the staff now and other necessary control measures like timely closing of period, timely review and analysis, accounting entries, reconciliation etc. will be taken care accordingly. We are also gradually reducing monthly closing lead time as staff is getting more familiar with the new system.</t>
  </si>
  <si>
    <t>During review it was noted that financial statements are audited and submitted to zakat a tax authority with considerable delay and after the regulatory due date as shown below:</t>
  </si>
  <si>
    <t>•	Management should finalize and plan audit of financial statements on timely manner and submit it to GAZT on or before the last date of submission.</t>
  </si>
  <si>
    <t>As we have new system Dynamics 365 which is familiar with the staff now and other necessary control measures like timely closing of period, timely review and analysis, accounting entries, reconciliation etc. will be taken care accordingly. We are also gradually reducing monthly closing lead time as staff is getting more familiar with the new system. Further, delays were observed due to some matters/adjustments pending with external auditors.</t>
  </si>
  <si>
    <t>Weakness in petty cash governance</t>
  </si>
  <si>
    <t>During our review of petty cash process and transactions, we noted the followings:
•	Absences of approved petty cash policy and procedures. Petty cash policy shall include at least the followings:
b)	List of allowed expenses from petty cash.
c)	Limit on maximum single payment.
•	No periodic review/verification of petty cash limits
•	Petty cash limits granted to employees are very high and need to be reviewed based on their monthly average expenses.
•	Absence of mechanism and practice for surprise cash count and related procedures. 
•	Absence of mechanism to monitor new issuance and closing of petty cash funds.
•	Petty cash accounts showing the amount of SAR. 15,000 relating to an employee terminated in 2014.
•	Absence of Authorization letters for new petty cash issuance in 2020-21 to employees.</t>
  </si>
  <si>
    <t>•	Management should develop and implement a comprehensive petty cash policy and procedures and apply accordingly.
•	Petty cash limits should be reviewed based on business needs.
•	Mechanism should be developed and implemented for surprise cash count and periodic confirmations.</t>
  </si>
  <si>
    <t>Petty cash policy will be covered under Policy &amp; Procedures assignment to external consultant. Same will be approved &amp; applied accordingly. We will also take necessary action for above highlighted cases.</t>
  </si>
  <si>
    <t>Aged reconciling bank items and bank reconciliation process not automated</t>
  </si>
  <si>
    <t>During review of Bank reconciliations, the below were noted:
1)	There are unreconciled payments that are debited by bank (SAMBA 820) but are not recorded in books, appearing in Bank Reconciliation Statement (BRS) as of December 31, 2021, for Oct and Dec 2020, amounting to SAR 1,626,506.
2)	Bank Reconciliation Statements (BRS) are prepared in manual spreadsheets.</t>
  </si>
  <si>
    <t>•	There should be rigorous follow up by BTC finance to clear unreconciled items
•	In consultation with the IT department, preparation of BRS in system should be enabled in system, so the process can be automated, and manual intervention to be minimized.</t>
  </si>
  <si>
    <t>•	We will coordinate with group finance department for clearing the unreconciling entries as highlighted.
•	No system integration between bank and dynamics software hence, unable to prepare system BRS. It will be considered in next phase of implementation.</t>
  </si>
  <si>
    <t>Inadequate controls over intercompany transactions</t>
  </si>
  <si>
    <t>During audit review we noted the followings:
•	There is no policy, defined mechanism, and practice to confirm and reconcile intercompany balance on periodic basis. (Monthly, Quarterly, semiannual basis).
•	There is no balance confirmation and reconciliation available with respect to related parties/intercompany transactions as of December 31, 2021. 
•	There are no separate sub-ledgers for each related company. The record of transactions is maintained manually in spreadsheets for confirmation purposes.
•	No aging report for internal company balances is available for review.
•	There is no approved procedure in place and applied for intercompany transactions approval and authorization.
•	There is no approved escalation matrix for exceptions and procedures for resolution of exceptions.
The net balance receivable from related parties is approximately SAR 8 million.</t>
  </si>
  <si>
    <t>•	A comprehensive mechanism should be developed to verify, confirm, and reconcile intercompany balance confirmations 
•	Balance confirmation should be obtained from group companies at regular intervals specially at year-end.
•	Reconciliations should be prepared, reviewed, and signed off in case there is any difference in the amount confirmed by counter party and that recorded in ledger.
•	In collaboration with IT department, individual sub-ledgers should be configured in Oracle to ensure the accurate party-wise balance reporting from system.
•	Develop procedure for approval and authorization of intercompany transactions
•	Develop escalation procedures and matrix for intercompany transactions discrepancies and exceptions
•	Clear the long-aged intercompany transaction balance.</t>
  </si>
  <si>
    <t>Intercompany related procedures and escalations will be covered under Policy &amp; Procedures assignment to external consultant. Same will be approved &amp; applied accordingly.</t>
  </si>
  <si>
    <t>Absence of systematic tracking mechanism of Insurance claims</t>
  </si>
  <si>
    <t>During our review, it was noted that there is no mechanism developed and applied for vehicles insurance claims monitoring in system. Insurance claims records are maintained manually in spreadsheets for tracking &amp; monitoring purposes.</t>
  </si>
  <si>
    <t>•	Management should explore the possibility of system-based tracking &amp; monitoring of all insurance related claims.
•	Tracking mechanism must be introduced in such a way that all transactions are recorded in tracker/ system and monitored accordingly.</t>
  </si>
  <si>
    <t>We have suggested many systems related enhancements and proposals to Microsoft database environment and new operations system along with the insurance tracking, monitoring, and integration. We are waiting for their responses &amp; final proposal.</t>
  </si>
  <si>
    <t>No integration between operational and financial module</t>
  </si>
  <si>
    <t>During audit review it was noted that there is no integration between Operational (Car Pro) and Finance (Dynamics 365) modules. It has been observed that all transactions related to revenue, receipts and VAT are uploaded in Dynamic 365 as single JV at month-end based on manual calculations in spreadsheet</t>
  </si>
  <si>
    <t xml:space="preserve">	Department should coordinate with IT department for integration or solution for this issue, the two systems should be integrated for smooth operations and data flow.</t>
  </si>
  <si>
    <t>We have suggested many systems related enhancements and proposals to Microsoft database environment and new operations system along, monitoring, and integration. We are waiting for their responses &amp; final proposal</t>
  </si>
  <si>
    <t>During IA review, it was noted that no Service Level Agreement exists between finance and other departments for smooth financial statements closing.
Management should develop and implement SLA that should include the below items but not limited to such as: 
•	Description of services provided.
•	Expected service levels, metrics, and timelines by which the services will be measured.
•	Escalation matrix for non-adherence to SLA.
•	Duties and responsibilities of each party and remedies in case of non-observance.
•	SLA should be approved as per DoE and circulated to all relevant stakeholders.</t>
  </si>
  <si>
    <t>SLA should be developed that governs activity related to finance department activities, within BTC finance and other departments.</t>
  </si>
  <si>
    <t>As per discussion with consultant, SLA draft version will be developed by them which will cover the services agreed between the subsidiaries. SLAs for inter-department are not yet defined yet but as a practice we communicate/escalate through official emails. However, we will develop and apply the same.</t>
  </si>
  <si>
    <t>Irregularities in petty cash custodian insurance</t>
  </si>
  <si>
    <t>During our review of petty cash, we noted the below:
•	There are 21 petty cash holders with total funds of SAR 444,600 are not insured. For the period 2022 – 2023.
•	There are two employees having petty cash funds, left BTC in February 2022, but are still insured for the period 2022 – 2023.</t>
  </si>
  <si>
    <t>All petty cash holders should be insured on timely manner and list of petty cash insurance should be reviewed on periodic basis for new issuance and closing of petty cash account.</t>
  </si>
  <si>
    <t>We will review all the petty cash holder’s status and delete those who left the organization and update with the new employees who have been assigned petty cash.</t>
  </si>
  <si>
    <t>Hire to Retire</t>
  </si>
  <si>
    <t>Outdated HR policy and procedure.</t>
  </si>
  <si>
    <t>During review IA noted that BTC currently is applying group HR policies and procedures that is outdated and that was last approved in FY 2007.
Such policies may include (but are not limited to) the following areas:
•	Manpower planning
•	Manpower budget preparation and monitoring process in place.
•	Recruitment and talent acquisition
•	Learning, training &amp; talent development
•	Payroll
•	HR-Operations - Working hours, attendance, and leave
•	Talent management
•	Resignation/termination
•	Performance appraisals
•	Business continuity / Succession.
•	Employee grievance
•	Rewards &amp; recognition
•	Career planning
•	On boarding detailed presentation not in place for BTC introduction and policies and procedures
•	Non-adherence to notice period by employee
•	Anti-harassment policy
In addition, IA identified following major procedural and practice gaps:
•	Absence of Recruitment planning and campus recruitments (if any)
•	Clear and approved manpower planning is not available.
•	There is no mechanism to verify employee documents especially validating academic and background check records.
•	Absence of formal on boarding process which includes initial training to be given to a new employee in probation period to introduce the culture, strategy, policy &amp; procedure, code of ethics of the company. 
•	Absence of formal Employee screening process and Employee selection procedures
•	There is no procedure for termination of contract employees
•	Absence of procedure for waiver of notice period.</t>
  </si>
  <si>
    <t xml:space="preserve">Management should develop/update the policy and procedures addressing the above identified gaps and get it approved accordingly. </t>
  </si>
  <si>
    <t>HR Manager</t>
  </si>
  <si>
    <t>An external consultant has been hired by AAGH Group management for the development of policies and procedures, same will be approved and applied accordingly.</t>
  </si>
  <si>
    <t>Absence of approved key performance indicators</t>
  </si>
  <si>
    <t>During our review we noted that KPIs for key individual employee and departments are developed but are not yet communicated and acknowledged by staff.</t>
  </si>
  <si>
    <t>HR Management should ensure that departmental KPIs and employee KPIs are formally defined, approved, and communicated.</t>
  </si>
  <si>
    <t xml:space="preserve">HR department has employee KPIs in system. We are working with IT department, for employees to have access to their KPIs. However, HR management will coordinate with each department of BTC and will develop departmental KPIs. </t>
  </si>
  <si>
    <t>Weakness surrounding job descriptions</t>
  </si>
  <si>
    <r>
      <t xml:space="preserve">During our review we noted that </t>
    </r>
    <r>
      <rPr>
        <sz val="11"/>
        <color theme="1"/>
        <rFont val="Aptos"/>
        <family val="2"/>
      </rPr>
      <t>there is no formal mechanism to communicate and acknowledge job description by employees.</t>
    </r>
  </si>
  <si>
    <t>•	HR department should develop job description in system for key employees and communicate accordingly. 
•	All JDs across the organization should be reviewed on an annual basis.</t>
  </si>
  <si>
    <t xml:space="preserve">HR department has JDs for all positions, and we are working with group to develop the same in system, for employees to access and confirmation, and will be reviewed annually. </t>
  </si>
  <si>
    <t>Discrepancies identified in employee files.</t>
  </si>
  <si>
    <t>During review of employee’s files, the following discrepancies (missing documents) were noted:
Refer to appendix # 4 for details</t>
  </si>
  <si>
    <t>•	All employee files are to be reviewed and checked for completeness. 
•	Develop comprehensive checklist for employee file documentations</t>
  </si>
  <si>
    <t>HR department will develop comprehensive checklist for required documents and ensure employee files completeness in chronologically order.</t>
  </si>
  <si>
    <t>Outdated succession planning for key positions.</t>
  </si>
  <si>
    <t>1.	During review IA revealed that currently there is no policy developed by HR department that governs succession planning to ensure seamless continuity of leadership in case of resource churn.
2.	Existing Succession plan is outdated and following shortfall identified:
•	There is no succession plan mentioned for the following positions. 
	COO
	project manager.
•	7 out of 12 key position holders already left the company.
•	5 out of 19 successors also left the company.</t>
  </si>
  <si>
    <t>•	The management should develop and update comprehensive succession plan for the appointments of senior management of the company, and to ensure their implementation to achieve smooth and orderly work of the company without any interruption or disturbance. 
•	The succession plan should address, at minimum, the following: 
a.	The key positions and functions to be covered. 
b.	The timeliness of coverage during the transition period. 
c.	The positions and time that could temporarily cover for the vacant positions. 
d.	Skills and qualifications required for each position.
e.	Training and development program for identified successor</t>
  </si>
  <si>
    <t xml:space="preserve">HR management will coordinate with BTC higher management and update comprehensive succession plan for senior management to achieve smooth and orderly work of the company without any interruption. </t>
  </si>
  <si>
    <t>Absence of approved salary scale and employee compensation.</t>
  </si>
  <si>
    <t>During review we noted the followings:
1.	Company currently does not have approved salary scales for all grades of employees.
2.	There is no Benchmarking analysis and market research has been done for salary scales.
3.	Grades are not defined and linked with the employee’s medical insurance eligibility.</t>
  </si>
  <si>
    <t>Management should:
•	Perform a market and industry survey and research for prevailing salary scales, based on that determine and establish pay scales for all grades of employees and get it approved accordingly.
•	Market research / Industry standards and corresponding revision / correction of salary grade for employee compensation should be performed on periodic basis.
•	Management shall ensure that salary and benefits offered for the employee should be according to the approved salary scales and employee grade.</t>
  </si>
  <si>
    <t>AAGH will perform market survey &amp; BTC HR management will coordinate for finalization and implementation accordingly once approved.</t>
  </si>
  <si>
    <t>Absence of performance appraisal.</t>
  </si>
  <si>
    <t>During our review we noted the following:
•	There is no performance appraisal conducted in 2020-2021 for employees.
•	Further, increments awarded to 49 employees during the 2021-2022 ranging from 06% - 70% without formal performance appraisal.</t>
  </si>
  <si>
    <t xml:space="preserve">
•	Management should ensure that a formal mechanism be developed for Performance appraisal/Evaluations of employees on periodic basis, (at least) annually and apply it accordingly. 
•	All the increments should be based on formal and documented performance appraisal.</t>
  </si>
  <si>
    <t>HR management will develop a formal mechanism for performance appraisal of employees on yearly basis and will apply it accordingly.
HR will also ensure that increments will be based on formal and documented performance appraisal</t>
  </si>
  <si>
    <t>High turnover ratios and absence of root cause analysis.</t>
  </si>
  <si>
    <t>During review, we noted the followings:
1.	Turnover ratios for last three years are higher as below:
2.	Absence of formal root cause analysis of high turnover.
3.	Monitoring and reporting of turnover ratio/attrition to top management.
4.	Proposals / plans to address the attrition.</t>
  </si>
  <si>
    <t>During the years 2020 and 2021, due to Covid19 Pandemic worldwide situation and closing of spot business, there was high turnover ratio.
HR management will perform formal turnover analysis based on the information obtained in exit interview and prepare its recommendations and will plan to control it to reasonable extent.</t>
  </si>
  <si>
    <t>Absence of background verification for key positions.</t>
  </si>
  <si>
    <t>During our review we noted that HR department is not performing and formally documenting employee background verification checks (e.g., work history, experience, education, and medical, as well as search for any past criminal activity…etc.)  for the new hires on critical positions.</t>
  </si>
  <si>
    <t xml:space="preserve">•	Management shall conduct a formal Background verification process of the employee before hiring candidates for critical positions and document it accordingly.
•	Management shall at least verify through this process the Candidate's (but not limited to): basic details, professional qualifications, educational certificates, work experience, and ethical and criminal background. </t>
  </si>
  <si>
    <t>HR department will conduct a formal background verification prior to hiring a critical position and document it accordingly when needed.</t>
  </si>
  <si>
    <t>Absence of define mechanism and policy for relative disclosure</t>
  </si>
  <si>
    <t>During our review, we noticed the followings:
•	Absence of defined mechanism and policy for relative/ family recruitment (nepotism) policy. 
•	Absence of relative disclosure form and its application
•	There is no formal record of any kinship available with HR department.</t>
  </si>
  <si>
    <t>Management should develop a comprehensive Anti-Nepotism policy, relative disclosure form and apply it accordingly.</t>
  </si>
  <si>
    <t>An external consultant has been hired by AAGH Group management for the development of policies and procedures, same will be approved and applied accordingly.
HR management will develop a relative disclosure form and apply it accordingly.</t>
  </si>
  <si>
    <t>Absence of vendor contract for Air tickets and comparative quotes.</t>
  </si>
  <si>
    <t>During our review IA noted the followings:
1.	There is no contract with multiple vendors for staff air ticket bookings.
2.	No defined mechanism to take multiple quotes from vendors, compare and buy economical air tickets for staff.</t>
  </si>
  <si>
    <t>Management should make agreements with multiple vendors and defined a mechanism to obtain and compare economical and best suited options.</t>
  </si>
  <si>
    <t>HR management is developing a new mechanism and plan for provision of air tickets as per eligibility of employees.</t>
  </si>
  <si>
    <t>Absence of repository and monitoring of adherence to applicable laws, circulars, and regulations.</t>
  </si>
  <si>
    <t xml:space="preserve">During review, it was noted that currently department doesn’t have formal process in place to identify applicable laws &amp; regulations and their compliance status. Further it was noted that there is lack of formal repository of applicable laws &amp; regulations maintained by Human Resource department. </t>
  </si>
  <si>
    <t xml:space="preserve">Management of HR team should ensure:
•	HR co-ordinates with relevant stakeholder for identification of applicable laws/regulations. 
•	There should be repository in place for all applicable regulation/law/circulars relating to labor law applicable to company. </t>
  </si>
  <si>
    <t xml:space="preserve">An external consultant has been hired by AAGH Group management for the development of policies and procedures, and the same will be applied accordingly. HR will also establish a defined repository of applicable laws and regulations showing their current compliance status. </t>
  </si>
  <si>
    <t>Absence of formal policies and procedures for staff performance and disciplinary actions.</t>
  </si>
  <si>
    <t>During our review we noted the followings relating to disciplinary actions:
•	There is no approved policies and procedures for disciplinary actions taken against employees in case of any misconduct.
•	There is no monitoring mechanism in place for follow ups and tracking of disciplinary actions taken. 
•	Mechanism to monitor and evaluate performance of employee
•	Procedure for handling low performing staff
•	Absence of centralized repository of warning letters issued to employees at project sites/divisions, head offices and regional offices.</t>
  </si>
  <si>
    <t xml:space="preserve">•	Management should develop and implement a comprehensive policy and procedures for disciplinary actions and monitoring mechanism for the tracking of disciplinary actions and their follow ups.
•	Management should develop and implement performance monitoring system for all employees  </t>
  </si>
  <si>
    <t>Absence of signatures on rental contracts.</t>
  </si>
  <si>
    <t>During audit review it was noted that rental contract for Al Akrash parking in Buraidah amounting to SAR 60,000 is only signed by the tenant (BTC) not by the landlord.
•	A contract must be signed by both parties to make it valid and legally binding.</t>
  </si>
  <si>
    <t>HR department should ensure that signatures are taken from all parties that BTC enter with outside party.</t>
  </si>
  <si>
    <t>HR department will ensure that contracts will be properly signed by all relevant authorized parties.</t>
  </si>
  <si>
    <t>Absence of employees training and continuous professional development program.</t>
  </si>
  <si>
    <t xml:space="preserve">During our review, we noticed the followings:
1.	Company does not have a structured process for employee skill development and specialized trainings relating to his domain. 
2.	Company does not have training programs to enhance risk culture and employee’s awareness such as but not limited to Code of conduct, Internal Controls, Fraud management, Regulatory requirements, etc. 
Furthermore, there is no documentation and tracking of trainings that an employee has taken and provided by company. </t>
  </si>
  <si>
    <t>Management of HR team should:
•	Ensure to develop a comprehensive training program for employees.
•	Assess and communicate training needs, training calendar should be reviewed by the Departmental Heads and approved by the senior management, and training budgets are prepared based on the annual training calendar"</t>
  </si>
  <si>
    <t>HR department will coordinate with other departments and management, to develop a comprehensive training plan and calendar for employees and get it approved and applied accordingly.</t>
  </si>
  <si>
    <t>Absence of employee’s orientation program.</t>
  </si>
  <si>
    <t>Employee orientation is an excellent way to acquaint employees with the organization’s structure, culture, employees, and summarize the nature of operations of various departments. During our review we found that no Employees Orientation Program is still yet established, finalized, and implemented</t>
  </si>
  <si>
    <t>The department should establish a detail orientation program and ensure that specific contents / areas of orientation and time duration to be dedicated for various activities are documented, reviewed, and approved by appropriate personnel.</t>
  </si>
  <si>
    <t>HR department in coordination with IT department will develop and document an online detailed orientation program and apply it accordingly.</t>
  </si>
  <si>
    <t>Asset management</t>
  </si>
  <si>
    <t>Absence of comprehensive maintenance policies and procedures</t>
  </si>
  <si>
    <t>During IA review, it was noted that comprehensive policies and procedures covering all sub processes of the Maintenance department are not in place.
For effective and efficient operations and management, complete set of policies in line with the overall business strategy to be documented and approved as per authority matrix. It was observed that approved version is not comprehensive and silent on certain areas relating to:
•	Quality Check process
•	Complaint handling &amp; monitoring
•	Customer Feedback process
•	Repeat jobs process.
•	Job card cancelation process
•	DOA matrix
•	Scrap sales process
•	Security Management
•	Health &amp; Safety
•	Fraud control</t>
  </si>
  <si>
    <t>Comprehensive policies and procedures manual should be developed, approved, implemented, and updated on periodic basis.</t>
  </si>
  <si>
    <t xml:space="preserve">Policy and procedure for the above highlighted areas of maintenance department will be developed, reviewed, and submit to management for their approval. After approval this will be applied accordingly. </t>
  </si>
  <si>
    <t>Absence of org. structure, succession plan, job description and KPIs</t>
  </si>
  <si>
    <t>During our review, we noted that:
1.	Approved organizational structure for the Maintenance department is not available.
2.	Succession planning for key Maintenance staff were not developed and available for review.
3.	Job descriptions for key staff developed and available for review.
4.	No KPIs are defined, approved, and communicated to key employees of the maintenance department.
5.	Absence of defined mechanism for job rotation of Maintenance staff</t>
  </si>
  <si>
    <t>•	Management should prepare Org. structure &amp; succession plan, get it approved as per authority matrix, and communicate it to the staff.
•	Management should define KPI &amp; Job description &amp; get it approved annually as per authority matrix and communicate it to the staff.</t>
  </si>
  <si>
    <t xml:space="preserve">Organization structure, KPI, JD and succession plan for maintenance department will be develop and applied accordingly. </t>
  </si>
  <si>
    <t>Absence of defined service codes and categories for job cards in system</t>
  </si>
  <si>
    <t>•	There are no service codes defined in CarPro system to categorise job repairs while opening and closing of job cards.
•	It was also noted that there are 1491 closed job cards without any description/remarks mentioned. In such cases, Internal audit is unable to identify &amp; review the actual type of repair/maintenance performed on vehicles.</t>
  </si>
  <si>
    <t>•	Management should define in system and implement comprehensive service coding and categories for all types of repairs &amp; services
•	Management should ensure that every job cards must be updated with actual type and repair on vehicles in remarks/description.
•	Periodic review must be performed to track &amp; monitor any discrepancies</t>
  </si>
  <si>
    <t xml:space="preserve">Currently In CarPro this option is not available, and we will request to have this option in new system.
We will analyse the highlighted job cards and instruct the related users to update description and remarks before closing the job cards. </t>
  </si>
  <si>
    <t>Long aged pending job cards</t>
  </si>
  <si>
    <t xml:space="preserve">We noted that 5907 job cards (Internal &amp; External) amounting SAR. 204,436 are under status Open &amp; Pending as of 27th October 2022. Out of which 4352 pending job cards pertaining to the year 2015-2021. </t>
  </si>
  <si>
    <t>•	Maintenance department must ensure every month all job cards should be closed with minimum exceptions having adequate reasoning like major repairs/non-availability of parts related issues.
•	Maintenance department should ensure not to process such invoices which has been delayed in workshop without proper justification</t>
  </si>
  <si>
    <t xml:space="preserve">Most of these open job cards (60%) are related to Jeddah workshop, which is under legal case. We will close upon final notification from legal department. We will also review and analyze the remaining job cards and close accordingly. </t>
  </si>
  <si>
    <t>High Maintenance Cost Ratio and per vehicle maintenance cost</t>
  </si>
  <si>
    <t xml:space="preserve">•	During IA review, it was noted that, Company has a high Maintenance cost ratio in 2 consecutive years (i.e., 8.1% in 2020 and 8.9% in 2021). Whereas the industry competitors Budget and Theeb has the ratio ranging from 4.7% – 7.1% during the same period.
•	Additionally, based on available data of BTC, it was noted that the maintenance ratio for the period Jan-Sept 2022 is much higher than previous 2 years i.e., 12.2%.
The Below table illustrates the detail calculation and industry comparison: 
•	It was also noted that the average maintenance cost per vehicle for BTC is high (41%) amounting to SAR 2,243 during the year 2020 and 2021; whereas industry competitors Budget &amp; Theeb has low maintenance cost with an average of SAR 1,590 during the same period.
The Below table illustrates the detail calculation and industry comparison: 
 </t>
  </si>
  <si>
    <t>•	Management should take immediate active steps to reduce the maintenance cost based on industry benchmarking and standards and should monitor more effectively.</t>
  </si>
  <si>
    <t>Management Response
Followings are the main reasons for high maintenance cost as compared to competitors:
•	57% job cards are opened with external workshops that are not as cost effective as maintenance at internal workshop in year 2022.
•	BTC have old model year vehicles in our fleet which cost us more. In year 2022 we have total 7996 job cards for vehicles below model year 2017 which costing us 3,441,481/- approximately 15-20% of total maintenance cost. 
•	We have Peugeot and Renault vehicles in fleet having high maintenance cost as compared to other brands. Most of them are under repaired at Dealer and some need to engine replacement.
Above mentioned competitors have mainly their own internal workshop, due to this their avg maintenance cost is low. Management has already initiated the process to open three new internal workshops one in each of the eastern, western, and central region to reduce the cost. By opening own workshop and reducing reliance on external workshop will reduce 15%-20% cost of maintenance (as per year 2022 data comparison for external and internal workshop repairs).
Further authority limits for maintenance approval, contracts with external workshops and their monitoring, avg. and client wise maintenance cost will be monitored periodically to keep it low.</t>
  </si>
  <si>
    <t>Absence of contracts for spare parts supplies and excessive utilization of Petty cash</t>
  </si>
  <si>
    <t xml:space="preserve">It was noted that Maintenance dept use to purchase spare parts, materials, consumables, and repair/maintenance at workshops (internal &amp; non-contracted) through petty cash instead of routing through proper channel of contracting with suppliers.
It was observed that management have inadequate control and monitoring of purchases and repairs performed on petty cash expenses.
Location-wise summary of petty cash purchases for the period Jan-Oct 2022 are as under:
Garage Name	# Job cards	Total Amount
LOCAL SUPPLIER - RIYADH	2538	731,713
LOCAL SUPPLIER - JEDDAH	338	191,237
LOCAL SUPPLIER - KHOBAR	420	139,181
LOCAL SUPPLIER-JUBAIL	422	137,522
LOCAL SUPPLIER - SOUTH AREA; ABHA	32	37,296
Total	3,750	1,236,949
</t>
  </si>
  <si>
    <t>•	Management should take necessary steps to contract with relevant suppliers and minimise petty cash usage.
•	Periodic review of petty cash limits and expenses to be performed management.</t>
  </si>
  <si>
    <t>We will coordinate with procurement department to arrange credit suppliers for material purchases for workshops.
Further, rates will be standardized, and contracts will be prepared for shortlisted and approved vendors.</t>
  </si>
  <si>
    <t>Variance in physical verification of spare parts and materials at Riyadh Workshop</t>
  </si>
  <si>
    <t xml:space="preserve">•	During our physical visit and verification of spare parts at Riyadh workshop dated 25th October 2022, shortages and excesses of parts &amp; materials were observed. 
Summary of variances are as under:
System Stock	Shortages	Excesses	Physical Stock
Qty	Amt	Qty	Amt	Qty	Amt	Qty	Amt
3,615	101,820	808	28,860	291	2,328	3,098	75,288
Refer Appendix 4 for details.
•	It was noted that there is no define policies and procedures for periodic physical verification of spare parts inventory at workshops. However, physical count was performed for spare parts stocks only at the year-end by Finance department.  </t>
  </si>
  <si>
    <t>•	Management should ensure that proper tracking mechanism of Inward/Outward of all materials to be maintained.
•	Management should ensure all shortages/excesses highlighted to be identified on priority &amp; reconciled with system stocks.
•	Management should establish policies and procedures for periodic physical verification to avoid any such instances.
•	All documents related to perpetual inventory to be filed and maintain with proper records.</t>
  </si>
  <si>
    <t xml:space="preserve">The above-mentioned excess and shortages have been sorted. 
Currently in system there is no immediate effect of material issuance to the job card. And same will be effective upon closing the job card. However, we will coordinate with IT to implement stock movement simultaneously in the upcoming new system. </t>
  </si>
  <si>
    <t>Cancelled job cards without justification</t>
  </si>
  <si>
    <t>Based on our random sampling procedures of the job cards we noted that there are 997 cancelled job cards from Jan-2021 to Oct-2022, where no justification obtained or updated/mentioned in Remarks or Description column of job cards.
Also, there is no formal approval attached from higher management for canceling the job cards.</t>
  </si>
  <si>
    <t>•	We recommend that cancellation of job cards should be approved as per the DOA and after consultation with the management.
•	Management should develop policy of cancelling job cards with prior review and approval as per DOA.
•	Proper justification should be mentioned in the Description column of the job cards</t>
  </si>
  <si>
    <t xml:space="preserve">Currently we seek emails approvals from management to perform this activity. However, we will coordinate with IT dept. to enable the option to update the justification or remarks while cancelling the job cards. </t>
  </si>
  <si>
    <t>Absence of variance and budget analysis of maintenance</t>
  </si>
  <si>
    <t>During review, it was noted that there is no periodic budget and variance analysis prepared and available with Maintenance department to track &amp; monitor the over &amp; under expenditures.</t>
  </si>
  <si>
    <t xml:space="preserve">•	Management should define mechanism of preparing periodic budgeting and variance analysis </t>
  </si>
  <si>
    <t>In consultation with finance department, we will prepare variance analysis to track and monitor maintenance expenses.</t>
  </si>
  <si>
    <t>Absence of bulk upload functionality/portal of maintenance invoices</t>
  </si>
  <si>
    <t>BTC have tie-up with networked workshops throughout kingdom like Petromin &amp; One-Stop for routine maintenance and general repairs. These workshops submit invoices to BTC on monthly basis and later maintenance team enters these invoices manually one-by-one in CarPro (operation module).
It was observed that there is no system functionality/portal in place to upload invoices in bulk submitted by various workshops.</t>
  </si>
  <si>
    <t>Management should consult with IT and take necessary steps to enhance system functionality of bulk upload of workshop invoices.</t>
  </si>
  <si>
    <t>We requested to CARPRO team to provide us bulk load option since years, but they failed to provide, and we have many emails for this issue. 
We will consider in new system implementation to make sure bulk upload option is available.</t>
  </si>
  <si>
    <t>Long aged &amp; non-moving spare parts or materials lying in workshops</t>
  </si>
  <si>
    <t>During the physical review of Riyadh Workshop spare parts, we noted the following: 
•	It was observed that there are 59-parts line items with 329 quantities lying in Riyadh workshop &amp; Abha locations. These spare parts are long aged and non-moving items which are pending for than 5 to 10 years.
•	It was also noted that most of these parts are either expired or under non-usable conditions. 
•	The actual purchase price of these parts was not recorded at the time of procurement and recorded on notional value of SAR 10/unit.
Details are as under:
Location	Parts line items	Quantities
Garage Riyadh	25	113
South Workshop (Abha)	34	216
Refer Appendix 5 for details</t>
  </si>
  <si>
    <t xml:space="preserve">•	Management should define mechanism to identify the immovable parts on timely basis.
•	Management should initiate an action to dispose of highlighted stock and recover the maximum possible amount. </t>
  </si>
  <si>
    <t>Our ABHA workshop was closed by Municipality in year 2015. And these parts were lying there in ABHA office. We brought all parts here to check if we can utilize @ BTC workshop. But as per mechanics these parts are for old model vehicles and already expired, cannot be used in our fleet and the value is only scrap.
We entered these in system with SR 10 as per management instructions.
As these parts are obsolete so we will coordinate and get necessary approval from management to sell these parts as scrap</t>
  </si>
  <si>
    <t>Absence of periodic review of user access rights in CarPro for Maintenance dept.</t>
  </si>
  <si>
    <t>During review of Maintenance process, it was observed that user profiles are not reviewed periodically by management to ensure that users with access to data continue to have such access and those privileges granted remain appropriate.</t>
  </si>
  <si>
    <t>•	Management must review the access rights on periodic basis.
•	Ensure any unwanted access observed must be removed accordingly</t>
  </si>
  <si>
    <t>Maintenance department will review user access rights of all maintenance staff on periodic basis. And same will be included in policy and procedures.</t>
  </si>
  <si>
    <t>No Labor costs allocated for repair jobs performed at BTC workshops</t>
  </si>
  <si>
    <t>During our review, it was noted that there are no labour charges/or internal rate card defined for repairs &amp; maintenance performed at In-house workshops.
Nevertheless, BTC owned workshops at various cities like Riyadh, Jubail, Projects locations &amp; service vans throughout kingdom; but since inception, rate cards were not defined to charge all sort of repairs performed on vehicles at BTC owned workshops.</t>
  </si>
  <si>
    <t>•	Management should develop and implement the internal rate card and configure in system accordingly.
•	All sort of repair and maintenance conducted by in-house workshops must be categorized and labor charges should be determined as per industry standards.</t>
  </si>
  <si>
    <t>Currently, this option is not functional in CarPro however, we have added this requirement to apply in new system.</t>
  </si>
  <si>
    <t>Lack of system-based management reports for Maintenance department</t>
  </si>
  <si>
    <t>•	During review, it was noted that there is no system based operational and management analytical reports for Maintenance department.
•	All types of operational analysis and evaluation prepared and submitted to management review and decisions are based on single job card data generated from the system.
•	Further, it was noted that manual procedures were performed to remove abnormalities prior to generation of manual management reports compromising data accuracy and reliability.
•	System should be able to generate following important reports (not limited to):
a)	Location wise pending job card report
b)	Workshop concentration report
c)	Maintenance expenses reports (location-wise, type &amp; category of repairs, client-wise, brand/model-wise)
d)	Exceptionally approved repairs
e)	Repeat repairs.
f)	Warranty claims related jobs.
g)	Insurance &amp; drop claims related repairs.
h)	Parts utilization report
i)	Vendor-wise parts procurement report</t>
  </si>
  <si>
    <t>•	Management should establish a standardized internal reporting that would specify the reports to be prepared and same to be define in system.
•	Management should ensure that all such are automated and inbuilt in system.</t>
  </si>
  <si>
    <t>Currently, management reports are not functional in CarPro however, we have added this requirement to apply in new system.</t>
  </si>
  <si>
    <t>Irregularities in workshop contracts</t>
  </si>
  <si>
    <t>Workshop/Supplier contracts are important to achieve better quality of service, competitive prices, and most suitable credit terms.
During review of active workshop contracts as of October 2022, following discrepancies were observed and noted:
•	7 out of 58 vendors (workshop &amp; parts supplies) were having no contract.
•	40 out of 51 available contracts were having no price list/Rate Card.
•	4 out of 51 available contracts were having no signature &amp; stamp by the second party.
•	3 out of 51 available contracts were not vetted by the legal department.
•	1 out of 51 available contracts was outdated.
•	1 out of 51 available contracts has no credit period mentioned.
Refer Appendix 6 for details</t>
  </si>
  <si>
    <t>Management must ensure that all vendors must have contracts and should ensure compliance of all above identified gaps</t>
  </si>
  <si>
    <t xml:space="preserve">We will analyse the vendor contracts highlighted above and take appropriate action and seek legal approval for the same.  </t>
  </si>
  <si>
    <t>Absence of defined mechanism for maintaining workshop tools, equipment, and service vans.</t>
  </si>
  <si>
    <t>During physical visit to Riyadh Workshop, we noted that there is lack of adequate control and mechanism of maintaining workshop mobile service vans, tools &amp; equipments. Following discrepancies were observed:
•	No system tracking of parts issued to mobile service vans.
•	No Tools register being maintained at workshops.
•	No documentation of Handover/Takeover of Toolkit assigned to technicians
•	No periodic testing of workshop equipments</t>
  </si>
  <si>
    <t>•	Virtual location of mobile service vans should be created in system and transfer of parts/materials should be simultaneously performed along with physical movement.
•	Process for transfer of parts/materials should be prepared and followed.
•	Tools &amp; Equipments register must be maintained at all workshops
•	Periodic testing and proper upkeeping of workshop equipments must be performed.
•	Process of Toolkit assignment to technicians/mechanics should be prepared and followed.</t>
  </si>
  <si>
    <t>In current system, we cannot create a sub warehouse to issue parts to mobile mechanic. so, we prepare a manual document to handover the spare parts to mechanic. And after consumption, he gives us manual work order report to create job cards in system. Going forward, we will create virtual location for mobile vans and issue required parts &amp; materials under that location.
For maintaining and upkeeping of workshop equipment and tools, we will ensure proper procedures and periodic inspection are in place.</t>
  </si>
  <si>
    <t>Absence of Inspection checklist of vehicles under repairs</t>
  </si>
  <si>
    <t>During physical visit to Riyadh Workshop dated 25th October 2022, it was observed that there is no inspection checklist prepared and available for vehicles while sending and receiving from external workshops.</t>
  </si>
  <si>
    <t>•	Management should ensure that every vehicle received for repair/maintenance must be inspected and Inspection checklist to be filled and attached along with the job cards.
•	Periodic review must be performed to track &amp; monitor any discrepancies</t>
  </si>
  <si>
    <t>We will ensure to maintain all checklists while sending and receiving the vehicle before and after repairs.</t>
  </si>
  <si>
    <t>Absence of performance review/monitoring of external workshops</t>
  </si>
  <si>
    <t>•	Maintenance department had not developed any operational guidelines SLAs or checklists that should be used to monitor the performance of the selected or contracted workshops. 
•	It was also noted that there is no performance review/evaluation done in past for contracted workshops.</t>
  </si>
  <si>
    <t>•	Management should develop SLAs and comprehensive maintenance and repair checklist that will measure efficiency of the Workshops like vehicle repeat jobs, any damages during repair, quality of work done, turnaround time for repair, cleanliness, etc. 
•	Conducting evaluation of workshops in the maintenance and repair of company’s vehicles as a means of assessing their capacities and efficiencies
•	Inspection visits to be conducted in workshops to check how company’s vehicles are maintained</t>
  </si>
  <si>
    <t>Maintenance department will create workshop inspection checklist to review workshop performance and efficiency and disseminate to workshop staff for adherences.</t>
  </si>
  <si>
    <t>Absence of cost benefit analysis performed between internal &amp; external workshops</t>
  </si>
  <si>
    <t>•	It was observed that there is no comparative analysis prepared and available to review the cost effectiveness of repairs between internal &amp; external workshops.
•	Cost-effectiveness ratio is most straightforward factor when comparing internal and external workshops for further business expansion.</t>
  </si>
  <si>
    <t>•	Management should prepare comparative analysis of maintenance expenses between internal and external workshops.
•	If internal workshops are cost-effective then management may explore the possibility of opening new internal workshops at strategic locations.</t>
  </si>
  <si>
    <t>Maintenance department will prepare comparative analysis between internal and external workshop and consider the results prior to opening a new internal workshop</t>
  </si>
  <si>
    <t>Unhygienic and unorganized condition of workshop</t>
  </si>
  <si>
    <t>During physical visit and review dated 25th October 2022 of Riyadh workshop, following discrepancies were noted:
1.	Lack of administrative well-being and unhygienic conditions.
2.	Workshop floor was damaged and not clean and unhygienic.
3.	Broken cabinets
4.	No Reception or any appropriate sitting place available for customers visiting to Workshop.
5.	4 CCTV cameras were not functional.
6.	No arm pads for any of the lifters
7.	Used parts/materials were lying in the workshop area.
8.	No safety shoes for technicians/staff
9.	Non-availability of Security guards</t>
  </si>
  <si>
    <t>•	Management should define and implement workshop inspection programs to resolve the identified issues.
•	Periodic review and surprise visits must be conducted by the management.</t>
  </si>
  <si>
    <t>We will coordinate with facility department to make necessary arrangements to streamline workshop wellbeing and maintain hygienic condition and will ensure proper functioning of CCTV and other workshop equipment.</t>
  </si>
  <si>
    <t>Absence of mechanism of scrap sales</t>
  </si>
  <si>
    <t>During physical review of Riyadh workshop and scrap items related process and recording, following discrepancies being observed:
•	No formal process for Scrap Sales
•	Scrap parts or materials lying haphazardly in workshop area. 
•	Only one quotation was collected from vendor/scrap dealer.
•	No records available for scrap sales/inventory at other locations of BTC network.</t>
  </si>
  <si>
    <t>We recommend that documented process &amp; policy to be introduced for Scrap Sales Policy &amp; approved by Management to enable clear direction of the Scrap identification, sales &amp; depositing of the income received.</t>
  </si>
  <si>
    <t>Due to MOC rules regulations &amp; Baladiya fines, no one giving us official quotation to purchase scrap. The current process includes 2 to 3 informal quotations and sold to the highest quoted vendor in presence of maintenance Coordinators and support staff. 
 It was due to lack of free place, now arranged and clear areas.</t>
  </si>
  <si>
    <t>Fleet Control</t>
  </si>
  <si>
    <t>Absence of comprehensive fleet control policies and procedures</t>
  </si>
  <si>
    <t>During IA review, it was noted that comprehensive policies and procedures covering all processes of the Fleet Control department are not in place.
For effective and efficient operations and management, complete set of policies should be documented and approved as per authority matrix. 
Such policies and procedures should include (but not limited to): 
•	Comprehensive procedures of all processes, sub-processes and activities performed by Fleet Control department.
•	Pre-mature retirement of vehicles
•	Fleet Control Reports and periodicity
•	Monitoring of BTC fleet in TAMM
•	Traffic violations and penalties</t>
  </si>
  <si>
    <t>Fleet Control Manager</t>
  </si>
  <si>
    <t>An external consultant has already hired for the development of policy &amp; Procedures (same will be approved an applied accordingly)</t>
  </si>
  <si>
    <t>Absence of succession plan, job description and KPIs</t>
  </si>
  <si>
    <t>During our review, we noted that:
1.	Succession planning for Fleet control staff were not developed and available for review.
2.	Job descriptions for key staff were not developed and available for review.
3.	No KPIs are defined, approved, and communicated to key employees.
4.	Absence of defined mechanism for job rotation of fleet control staff.</t>
  </si>
  <si>
    <t>•	Management should prepare succession plan, get it approved as per authority matrix, and communicate it to the staff.
•	Management should define KPI &amp; Job description &amp; get it approved annually as per authority matrix and communicate it to the staff.</t>
  </si>
  <si>
    <t>Fleet Department with the coordination with HR to develop Departmental Job description, succession plan &amp; KPI’s of the Department key employees.</t>
  </si>
  <si>
    <t>Lack of system-based management reports for fleet control department</t>
  </si>
  <si>
    <t>During review, it was noted that there is no system based operational and management analytical reports. All types of operational analysis and evaluation prepared and submitted for management review and decisions are based on manual reports. Further, it was also noted that manual procedures were performed to remove abnormalities prior to generation of manual management reports compromising on data accuracy and reliability.</t>
  </si>
  <si>
    <t>Currently Management analytical reports are not functional in CarPro however We will develop standardise internal reports in new system and will define frequency and timelines of the reports to be generated periodically. All such reports will be automated and in built in new system.</t>
  </si>
  <si>
    <t>Differences in Fleet records between CarPro vs TAMM</t>
  </si>
  <si>
    <t xml:space="preserve">During our review it was noted that there are discrepancies and mismatch of vehicles as per records updated in CarPro and TAMM.
CarPro is an internal system of BTC operations. Since inception, all fleet vehicles are recorded, updated, maintained, monitored, and tracked through this system. Whereas TAMM is an e-service portal managed by government agency, which helps entities working in transportation field like vehicles fleet owners, traders, and renters in Saudi Arabia to access all updated information of their respective vehicles from governmental sources. 
While comparing the fleet data between CarPro and TAMM, following discrepancies has been observed:
1.	Vehicle available in CarPro but not in TAMM:
2.	Vehicles available in TAMM but not in CarPro (709 vehicles): </t>
  </si>
  <si>
    <t>•	Management should define mechanism to keep our fleet records reconciled with TAMM records periodically.
•	Ensure no delays has been occurred in ownership transfers in system.
•	Stock monitoring reports (CarPro vs TAMM) should be maintained &amp; shared with Management on timely basis.</t>
  </si>
  <si>
    <t>Management will take the following steps to eliminate the differences (available in TAMM not in CarPro):
1.	For 687 vehicles, management has already started a process (Tameem and recovery) through traffic authority. Upon recovery of vehicles these will be handed over to the owners after recovery of related charges and transfer of ownership on their name.
2.	 22 vehicles management is unable to identify these vehicles as these are very old models and will start the process for deleting vehicles from TAMM. 
3.	Management will also ensure regular monitoring of records between TAMM and CarPro and any differences identified will be resolved on timely manner.</t>
  </si>
  <si>
    <t>Absence of legal department policy and procedures</t>
  </si>
  <si>
    <t>During IA review, it was noted that comprehensive policies and procedures covering all sub processes of the Legal department are not in place. 
For effective and efficient operations and management of legal department, complete set of policies &amp; procedures in line with BTC business to be documented and approved as per authority matrix. Such policies &amp; procedures may include (but are not limited to) following areas relating to:
•	Legal principles for different types of contracts (Vendor, outsourcing, collection, and repossession).
•	Procedure, and timelines for review of new and renewal of contracts by legal department.
•	Litigation management.
•	Legal advisory.
•	Collections legal remedial processes.
•	Review of all contracts by Legal department prior to finalization. 
•	Reporting high value/critical cases.
•	Review of existing and potential disputes by Head of legal and CEO.
•	Guidelines on confidentiality principles with legal firms.
•	Process to identify applicable laws &amp; regulations.
•	Centralized repository for maintaining applicable laws and regulations.
•	Review of existing, reversal and fresh legal provisions.
•	Scenarios, roles and responsibilities, timelines, approvals, and escalation matrix.
•	Escalation of significant cases or cases with reputational or regulatory implications. 
•	Cancellation/revocation of legal contracts.
•	Contract Management.
•	Retention of legal documents &amp; digital archiving.</t>
  </si>
  <si>
    <t>Comprehensive policies and procedures manual for legal department should be developed, approved as per DoA, and implemented accordingly</t>
  </si>
  <si>
    <t>Head of Legal Department</t>
  </si>
  <si>
    <t>Management will develop policies and procedures for the legal function, get it approved from competent authority as per DOA and apply accordingly.</t>
  </si>
  <si>
    <t>Absence of department organization structure &amp; training program</t>
  </si>
  <si>
    <t>During IA review, we noted that:
1)	Approved organizational structure for Legal department is not available.
2)	Job descriptions for key Legal department staff are not developed and available for review.
3)	No training has been conducted for legal department team &amp; have not attended any professional trainings or courses for skills management and enhancement.</t>
  </si>
  <si>
    <t>•	Management should prepare Org. structure, get it approved as per authority matrix, and communicate it to the staff.
•	Management should define KPI &amp; JD, get it approved as per authority matrix and communicate it to the staff.
•	Department should plan and arrange trainings for their staff relating to legal expertise, office management/skill enhancement trainings</t>
  </si>
  <si>
    <t>Management will coordinate with the HR department to develop the above-mentioned documents and apply accordingly after approval.</t>
  </si>
  <si>
    <t>Manual and Inaccurate/incomplete legal cases status report</t>
  </si>
  <si>
    <t>During audit review, the following were observed:
1.	There is no readily available system generated legal cases status report for any specific required point of time, however the report is prepared and updated manually on excel sheet.
2.	Legal case status report provided for IA review is incomplete and erroneous.
	Out of 2944 cases reported, below are the instances:
•	34 cases were found without agreement number.
•	94 cases with no due balances.
•	34 cases were ruled with amounts more than due balances amounting to SAR 12.9 M SAR. See below table:
 Refer Appendix 7 for details.
3.	Success and recovery rate of legal cases is not provided and is not feasible to calculate due to erroneous and incomplete data.</t>
  </si>
  <si>
    <t>•	Legal case monitoring report should be generated through system to ensure accuracy and reliability. 
•	Legal case due balances should be reassessed by finance, credit, and legal department to ensure accurate legal cases status report.</t>
  </si>
  <si>
    <t>Legal team will ensure the completeness and accuracy of excel based comprehensive periodic legal cases report. This report will be reviewed by legal team head before submission to management to ensure accuracy. 
Further, legal team will coordinate with management to see the feasibility and cost benefit analysis for enabling system based periodic reporting.</t>
  </si>
  <si>
    <t>Absence of cost benefit analysis prior to filing legal cases / litigations</t>
  </si>
  <si>
    <t>Legal department should perform cost benefit analysis and present it to the management for approval, preceding to pursue for legal case</t>
  </si>
  <si>
    <t>Legal team will perform and document the cost benefit analysis before filing all the material cases.`</t>
  </si>
  <si>
    <t>Absence of performance evaluation of legal function</t>
  </si>
  <si>
    <t>During IA review of Legal function, it was noted that there is no formal performance evaluation of legal function. Legal function performance should be evaluated considering (but not limited to) the following indicators:
•	Ageing of legal cases.
•	Success rate of legal cases.
•	Recovery rate of ruled cases.</t>
  </si>
  <si>
    <t>Management should define process to perform periodic performance evaluation of legal function</t>
  </si>
  <si>
    <t>Legal function will submit periodic report to management for the evaluation of legal department performance including all relevant information specifically, aging of cases, success rate and recovery rate.</t>
  </si>
  <si>
    <t>Absence of contract tracking mechanism</t>
  </si>
  <si>
    <t>During review of the legal department the following were identified:
1.	Absence of master log file for contracts that BTC entered and are vetted by legal department.
2.	Copy of vetted contracts are not maintained by legal department.</t>
  </si>
  <si>
    <t>•	Legal department should develop and maintain a master log file, with details and their status, for all contracts that BTC entered and vetted by legal dept.
•	The log file should be updated on a regular basis.</t>
  </si>
  <si>
    <t>A standard copy of agreement is already vetted and provide to relevant department, amendments (if any) are sent to legal for vetting. We will keep records of all such contracts.</t>
  </si>
  <si>
    <t>•	SLA should be developed, approved, and implemented, that governs activity related to legal department activities, within BTC legal and other departments.
•	SLA should be circulated to all relevant departments.</t>
  </si>
  <si>
    <t>Management will develop SLA between legal and other relevant departments and enforce it accordingly.</t>
  </si>
  <si>
    <t>"Absence of defined performance measurement
mechanism and KPIs for procurement"</t>
  </si>
  <si>
    <t>On review of the procurement process, we noted the following:
1. Department budgets and expenditure against those budgets was not
being monitored and reported. There are no regular, formalized
reporting mechanisms to support Management decision-making.
2. Reporting on Procurement activities consists of Monthly reports in the
form of a dashboard and Quarterly presentations which includes
performance results relating to, sourcing of new suppliers, negotiated
cost savings, implemented cost savings, and controlling number of
purchase orders. However, the following KPIs were not being
monitored:
a) Average time to procure.
b) On time deliveries
c) Supplier defect rate
d) % outsourcing
e) Internal satisfaction levels
f) Quality rejections
g) Forecasting errors
3. There were no established KPIs to ascertain the efficiency,
effectiveness, or economies of scale for the procurement activities
(processing purchase requisitions, purchase orders, and receiving of
ordered goods and services).
4. Performance benchmarks for the activities being performed were
not identified and agreed with other Departments (End
users).</t>
  </si>
  <si>
    <t> A formal, documented performance measurement framework should
be developed to enable assessment of the efficiency and
effectiveness of the Procurement Department, to support
management decision-making.
 The framework should include adequate performance indicators,
methods for collecting performance data, and mechanism of
reporting performance information.
 Benchmarks / Indicators should be identified and approved, in line
with the business objectives, prior year results and Management
feedback.</t>
  </si>
  <si>
    <t>Procurement
Supervisor</t>
  </si>
  <si>
    <t>Procurement department is in process of preparing KPIs, reporting mechanism and related parameters for the
department and getting approve from management.</t>
  </si>
  <si>
    <t>Absence of adequate governance for PO processes</t>
  </si>
  <si>
    <t>During our review of 30 PO samples, we noted the following
documentation/implementation discrepancies:
i. 21 POs were found with no receipt acknowledgement on PO from
vendors amounting to SAR 159M.
ii. 12 POs were found without vendor comparison sheets amounting
to SAR 109M.
iii. 8 Manual Purchase orders amounting to a total of SAR 39M.
iv. 1 PO with splitting of purchase order amounting to SAR 4.8M
v. There is no checklist and chronological arrangements of PO
related supporting documents.
Please refer Appendix 4 for details</t>
  </si>
  <si>
    <t> The department should address all the above-listed shortfalls in PO
documentation, and all required supporting documents should be
properly filed in chronological order.
 A checklist of required documents should be developed and applied
by procurement department.</t>
  </si>
  <si>
    <t>With the development of new procurement policies and procedures, the Department will prepare a standard
checklist of all required documents and take necessary steps/actions to ensure complete filing of supporting
and necessary required documents properly.</t>
  </si>
  <si>
    <t>Long pending purchase orders</t>
  </si>
  <si>
    <t>During review, we noted that lease quotations were approved and
pending for long since 2021. These purchase orders are related to
vehicle purchases and are pending in the interim stages i.e., Purchase
Order prepared and Delivery in Process. It concludes that open
purchase orders have no procedures set to close it with a limited
period.
Below are the year-wise details mentioned as under:
Year of
Purchase
No. of
POs
PO
Amount
Ordered
Quantity
Received
Quantity
2021 22 42,677,555 527 302
2022 17 9,551,550 153 25
Total 39 52,229,105 680 327
Please refer Appendix 5 for details</t>
  </si>
  <si>
    <t> Management should generate reports of all open/pending
purchase orders on a periodic basis to identify and close Pos
which are no longer required.
 Proper reasoning and justification must be maintained for each
pending purchase order and their status.</t>
  </si>
  <si>
    <t>The department will take correction action by consulting with IT department and business owners, further a
policy should be established for periodic review of open POs for their timely action to close open POs.</t>
  </si>
  <si>
    <t>Absence of standard purchase price for non-core business items</t>
  </si>
  <si>
    <t>During review of Procurement process, it was noted that neither
rates/prices have been standardized in system for all routine purchases
made like printing materials, IT equipment and related items, stationary
items, additional fitments related to vehicles etc. nor a blanket purchase
order is issued for such purchases.
It was observed that the procurement department seeks new/fresh
quotations every time a new purchase requisition is received.
This process tends to lengthy processing time &amp; time blockage of various
approval authorities including CEO.</t>
  </si>
  <si>
    <t>Management should standardize the rates of all routine purchases
throughout regions and upload them to the system or issue a
blanket PO for such purchases.</t>
  </si>
  <si>
    <t>Department will discuss with higher management and check the feasibility and materiality of standardizing
rates and vendors.</t>
  </si>
  <si>
    <t>Unrecorded liability in the relevant period</t>
  </si>
  <si>
    <t>We noted that fine and penalties related expenses of Oct, Nov and
December 2022 amounting to SAR. 699,000 are not recorded in the
relevant period. These expenses are recorded and paid in January
2023.</t>
  </si>
  <si>
    <t>Management should:
 develop closing policies and procedures.
 ensure recording of all expenses in the relevant period.</t>
  </si>
  <si>
    <t>We were notified of these violations after 2022 Closing, so these expenses were recorded and paid in after
Dec 2022.
We will ensure recording of all expenses in the relevant period by confirming with all departments such as
fleet management that there are no expenses goes unrecorded related to the period.</t>
  </si>
  <si>
    <t>Absence controls over bank reconciliation statements</t>
  </si>
  <si>
    <t>1. We noted that bank reconciliation statements are not prepared
manually on excel and not through Dynamic accounting system.
2. Further these excel based bank reconciliations statements
provided, are not showing any sign of review and approval,
neither showing the date of preparation.</t>
  </si>
  <si>
    <t>Management should:
 develop BRS process.
 prepare bank reconciliation statements on timely basis
through accounting system Dynamics and not by excel,
further these should be reviewed and approved by the
designated staff.</t>
  </si>
  <si>
    <t>Bank reconciliations are prepared manually through Excel on timely basis, due to the inability to prepare
them through the accounting system because there is no unique number for the transfers that helps us to
preparing in the system.
We will consider preparation of bank reconciliations by ERP system after discussion with dynamic team
and ensure reviewer and approval controls manually.</t>
  </si>
  <si>
    <t>Absence of Accrual for Bonus for the year 2022</t>
  </si>
  <si>
    <t>During review, we noted that there is no accrual made as on 31st
December 2022 for bonus amounting to SAR. 3 million approximately
relating to the performance of year 2022, paid in 2023.</t>
  </si>
  <si>
    <t>It was calculated &amp; approved by the Board of Directors after issuing the financial statements.
We will ensure recording of all expenses/costs in the relevant period by confirming with departmental heads
and top management regarding performance of year.</t>
  </si>
  <si>
    <t>Lack of Sales Variance Analysis Hinders Performance Monitoring and Achievement of Organizational Objectives</t>
  </si>
  <si>
    <t>For the year 2023, actual lease sales revenue is almost 32% less than the budgeted revenue.
It was observed that there is no documented sales variance analysis available for review. Variance analysis is a powerful tool for performances monitoring and always assist in achieving the organizational objectives.</t>
  </si>
  <si>
    <t>Management should develop detailed variance analysis on at least quarterly basis to monitor the company direction and pace towards achieving the goals and objectives.</t>
  </si>
  <si>
    <t>Sales Manager</t>
  </si>
  <si>
    <t>Less than 2 Years</t>
  </si>
  <si>
    <t>Management will prepare detailed sales variance analysis on periodic basis showing the reasoning of differences between actual sales and budgeted sales.</t>
  </si>
  <si>
    <t>Absence of a Robust Lost Quotation Analysis Process</t>
  </si>
  <si>
    <t>During our review, we noted that 538 (88%) of total quotations were lost during 2023. This is a very high lost quotation rate, and it is a cause for concern.
However, we also noted that there is no lost quotation ratio, detailed analysis, or reasoning of rejection has been documented and available. This makes it difficult to understand the reasons for the high lost quotation rate and to develop and implement effective corrective actions.
A total of 614 requests for quotations were received during 2023, out of which only 76 (12%) were successfully converted into sales. This is a very low conversion rate, and it is also a cause for concern.</t>
  </si>
  <si>
    <t>Management should develop and implement a process for tracking and analyzing lost quotations. This process should include:
•
Tracking the number of quotations lost
•
Identifying the reasons for the lost quotations
•
Developing and implementing corrective actions to address the reasons for the lost quotations.</t>
  </si>
  <si>
    <t>Management has already started development of lost quotation analysis, it will be used to analysis the lost sales and taking measures in future to expand the business and controlling the weaken areas.</t>
  </si>
  <si>
    <t>Absence of Profitability Analysis for Lease Customers upon renewals</t>
  </si>
  <si>
    <t>It was observed that there is no analysis available and performed to identify the profitability of Lease clients upon renewal, closing, termination &amp; early retirements of contracts.
Customer-wise profitability analysis is helpful and required to measure &amp; evaluate the margins &amp; costs of customers in line with the benchmarking/ parameters considered while calculating the lease pricing.</t>
  </si>
  <si>
    <t>•
Management must ensure that the profitability and recovery analysis should be prepared and reviewed on periodic basis, especially at renewals to identify the margins.
•
Management should explore possibilities to retain the customers with target profits</t>
  </si>
  <si>
    <t>Management will coordinate with related departments for development of individual client profitability analysis and consider it while renewal of contracts.</t>
  </si>
  <si>
    <t>Failure to Consider Insurance Claim Deductible Amount in Lease Agreement Renewals</t>
  </si>
  <si>
    <t>We noted that the insurance claim deductible amount as per insurance
policy 2023-2024 is SAR. 2000 and SAR. 2500.
While at the time of renewal of certain lease agreements the company
has not considered and revised the claim deductable amount and
charged a lower amount of deductible to client.</t>
  </si>
  <si>
    <t>In case of old contracts renewal management should consider the claim
deductibles applicable in current year insurance policy, and at least
update the new contract accordingly.</t>
  </si>
  <si>
    <t>At the time of renewal of these contracts or in case of any other new contract management will ensure the
claim deductibles are properly charged as per the insurance policy.</t>
  </si>
  <si>
    <t>Gaps identified in Approved policies and procedures for Operations</t>
  </si>
  <si>
    <t>During IA review, it was noted that available policies and procedures are not covering all sub processes of the operations in detail.
Following discrepancies/deficiencies were observed:
•
No detailed processes and sub-processes like Preleasing vehicles, receiving car from procurement, extended agreements, replacement vehicles in case of accidents, total loss, damages etc., handover vehicle to Maintenance dept for repairs, renewal of MVPI, returning of vehicle upon contract expiry, retirement (including early retirement) of vehicles, issuing special permission to travel outside kingdom, Internal transfers of vehicles, etc.
•
Duplication of processes &amp; sub-processes (like opening of new agreement, preparing vehicle inspection checklist, replacement vehicles)
•
No process flowcharts prepared and attached.
•
No turn-around-time specified for any processes and sub-processes.
•
Related documentation like vehicle checklist, TAMM registration not specified.
•
In case of replacement vehicles, opening of new agreement is mentioned.
•
Purchase of spare parts lies under Maintenance dept. and not under operations.
•
Roles &amp; responsibilities of designated staff were not clearly specified like Fleet document keeper.
•
Flow of procedures were not followed in sequence.
•
No specimen copies attached for documents like vehicle repair form, vehicle relay model, customer survey form, feedback form and other necessary forms.
•
No Process for routine maintenance at channel/network workshops
•
Direct calls from client to accident representative instead of lease coordinator upon accidents
•
Accident representative visiting to accident spot/scene to check the accident and provide replacement vehicle is not feasible.
•
Only heading mentioned and no procedures written below for Point # 14 Preventive Car Maintenance Programmed policies and procedures.</t>
  </si>
  <si>
    <t>Comprehensive policies and procedures manual should be developed, approved, implemented, and updated on periodic basis.
•
Policy &amp; Procedures should also include the process related to sale to group companies/subsidiaries</t>
  </si>
  <si>
    <t>Operations Manager</t>
  </si>
  <si>
    <t>Most of those comments are followed correctly by the operation team. However, the policy will be enhanced and updated addressing highlighted areas and will be implemented accordingly.</t>
  </si>
  <si>
    <t>Penalties incurred due to delay in renewal of vehicle registration</t>
  </si>
  <si>
    <t>Internal audit has analysed TAMM records dated 7th September 2023 and observed that.
•
There are 1985 vehicles with expired registration.
•
Upon renewal of these vehicles, penalty of SR 100/year will be charged. The penalty amount constitutes an estimate financial loss of SAR 166,800 to the company.
•
80 vehicles under Ready, Rented &amp; Out of Service statuses for which registration is expired and pending for more than 6 years to 25 years. Out of which 44 vehicles are of model year ranging from 2000 to 2010.
Refer Appendix 4 for year-wise summary of penalties</t>
  </si>
  <si>
    <t>•
Management should take immediate action on reconciling the actual fleet with the TAMM records and identify the differences.
•
Control gap/root cause analysis to be conducted to identify the process deficiencies and implement appropriate controls to mitigate such risks.
•
Establish accountability in case of non-renewal and registration in a timely manner without proper justification.
•
A comprehensive process and mechanism should be developed and applied for timely renewal of MVPI and registration.
•
Registration renewal of actual active fleet should be initiated on priority to avoid further penalties/ fines from traffic authorities</t>
  </si>
  <si>
    <t>Work on progress to finalize those old cases, knowing that part of 1985 vehicles are even sold or to be sold. Management will review and develop a comprehensive process to avoid any unnecessary delay in renewal of MVPI and registration.</t>
  </si>
  <si>
    <t>Traffic fines incurred due to non-updating or expired User authorization</t>
  </si>
  <si>
    <t>After opening the rental agreement, operation must authorize immediately in TAMM the driver to secure company for any fine coming against violation of traffic rules. In case of failure the fines directly came to BTC name and subsequently charged to client.
Internal audit has reviewed the driver authorization uploaded in TAMM and observed inconsistencies and irregularities in updating the driver details in TAMM.
Following are reasons of Traffic fines violations incurred on BTC:
•
Time period (Authorization validity) expired in TAMM.
•
Extended agreements not authorized in TAMM for extended period.
•
Customer Service Representative (CSR) forgot to update TAMM with driver details.
•
Expired Driving License / ID automatically deactivate TAMM authorization.
•
Vehicle parked in non-parking area.
•
Vehicle Insurance expired.
•
Inter Branch transfers without Driver Authorization
•
Damage Vehicle Plates
•
Expired Vehicle Registration
•
Expired MVPI
It was noted that as of August 2023, there were 908 violations amounting to SR 229,500 paid by BTC. Out of which SAR 197,700 has been charged to customers &amp; SAR 28,600 has been incurred on BTC due to unauthorized structural modification of vehicles.
Summary of Traffic fines details during the period January 2023 to August 2023: Category No. of violations Amount
Charged to Agreements/Used Cars
858
197,700
Deduction from Employee
11
2,200
Fines incurred on BTC
38
28,600
Wrongly charged to BTC
1
1,000 Total 229,500</t>
  </si>
  <si>
    <t>•
TAMM system is weekly /biweekly updated by the department to ensure timely updating of information on the traffic system, furthermore accountability and responsibility should be established and investigated.
•
Process to be defined for TAMM authorization &amp; updating.
•
Ensure Sold vehicles must be updated with buyer's info. in TAMM upon delivery.
•
Ensure that all penalties charged back to the customers are accepted and collected by customer, as collectability is highly probable.</t>
  </si>
  <si>
    <t>This was caused by two main reasons, first the update of Tamm system from individuals to business, the second reason is caused by financing companies, for this we have reviewed all the unauthorized vehicles and we have finalized it all, on the other hand we have changed the authorization to be actual user so it will be never expired.
Weekly reports are shared by the Fleet department to follow up on authorization.
Note: as of today, you will find 99 unauthorized vehicles only which are under delivery or waiting letters from financing companies.
Currently, we are working to integrate with Tamm so all opened agreements will be authorized by the new ERP automatically.</t>
  </si>
  <si>
    <t>Expired agreements pending Open since long period</t>
  </si>
  <si>
    <t>It was observed that there are 63 lease agreements wherein the contract period is expired/completed/matured but still Open in the system.
It was also noted that there are old agreements since 2003 in the system which are reflecting as Open status.
Upon further analysis, we noted that there is no invoicing against these agreements and vehicles associated with these agreements are under Rented, Ready &amp; Sold status.
Details of expired agreements with Check-out &amp; Check-in year-wise with Open status are as under:</t>
  </si>
  <si>
    <t>Management should analyze and take the necessary action of extending, renewing, or closing these agreements in the system on an immediate basis.
All vehicles associated with these agreements should be traced and identify the actual physical status and update the system accordingly.
•
Pending invoices, if any, should be generated and submitted to customers as a priority.
•
Pending collections of due amounts related to these agreements to be performed.
•
Management should develop a periodic monitoring mechanism to identify &amp; evaluate the long open agreements for expired periods.</t>
  </si>
  <si>
    <t>Weekly reports will be shared by the Fleet department to follow up on those agreements.
Management will review and perform comprehensive exercise to correct agreement status based on actual position and will close the required agreements</t>
  </si>
  <si>
    <t>Inadequate monitoring of replacement vehicles</t>
  </si>
  <si>
    <t>There are 140 vehicles under replacement issued to lease customers against permanent vehicles due to various reasons like repair &amp; maintenance, accidents, stolen, police cases, total loss etc.
36 out of 140 vehicles are under replacement for more than 30 days with customers (wherein the status of permanent vehicles was out of service and ready).
Aging analysis of replacement vehicles are as under:</t>
  </si>
  <si>
    <t>•
Establish a clear and comprehensive process outlining procedures along with turnaround time for every type of replacement.
•
Periodic review and monitoring must be performed and immediate action to be taken by management for all exceeding timeline cases.
•
System alerts and notifications functionality should be implemented for periodic monitoring and actions.</t>
  </si>
  <si>
    <t>Management will establish a comprehensive process along with turnaround time for replacements and ensure periodic monitoring and necessary corrective actions to control delay/aged replacements with customers.</t>
  </si>
  <si>
    <t>No repository available for Ministry of transportation regulations</t>
  </si>
  <si>
    <t>It was noted that there is no mechanism in place to identify the Ministry of Transportation regulatory requirements applicable to BTC operations.
There is no repository available with BTC Operations about the types of violations &amp; penalties applied due to non-compliance of regulations for cars, buses &amp; trucks.</t>
  </si>
  <si>
    <t>Periodically regulatory websites are checked to monitor any changes in the applicable regulations.
•
Comprehensive repository should be maintained and monitored on periodic basis.</t>
  </si>
  <si>
    <t>Fleet Control Manager, Operation Manager</t>
  </si>
  <si>
    <t>Fleet department is always following up on MOT updates through all channels. However, we will coordinate with the Compliance dept. for regular updates and maintain repositories for all applicable transportation regulations.</t>
  </si>
  <si>
    <t>Overdue lease agreements</t>
  </si>
  <si>
    <t>It was observed that there are 174 overdue lease agreements which got
expired in November 2023 but still active in system.
It is understood that either these vehicles were not returned from
customers and extended the agreement period or if returned then the
system agreement still not close and vehicles statuses are still updated as
Rented.
Customer-wise details are mentioned as under:</t>
  </si>
  <si>
    <t>•
Management should develop a periodic monitoring mechanism to identify &amp; evaluate the long open agreements for expired periods.
•
Management should analyze and take the necessary action of extending, renewing, or closing these agreements in system on immediate basis.</t>
  </si>
  <si>
    <t>Management will review these agreements and take corrective action. Management will establish a suitable monitoring process to control the overdue agreement.</t>
  </si>
  <si>
    <t>Inadequate control over operations</t>
  </si>
  <si>
    <t>1.
Company Use vehicles: It was observed that there is no availability of systematic report of vehicles under company-use or employee-use running under operations. Below mentioned allotment form approved by management is not available for review. Plate Vehicle Model Description Location Employee
7767JEB
Sunny
2015
Ahmed Mohsen
Medina
Ahmed Mohsen
5122JKG
Sunny
2015
MOHAMMED REDA / JEDDAH W/S
Jeddah
MOHAMMED REDA
7879AZZ
URVAN 2.5L GAS CARGO
2012
USE AS MOB W/SHOP.
Khobar
Khasif
2673BBZ
FRR 7T 6.07 WINCH
2015
Tasnee, APC, TUV &amp; Farabi Projects Service Car
Jeddah
Albilad employee
3301BBK
NPR 5T 4.95 WINCH
2016
HAMAD / WINCH
Jeddah
Albilad employee
7796ALN
HIACE 2.5L
2012
AHMED SADDIQUE
Jubail
AHMED SADDIQUE
335ENK
SUZUKI APV BLIND VAN
2007
لا يوجد اي بيانات بخصوص استخدامها السيارة و مكان
استخدامها
A record is maintained in excel spreadsheet by used cars department and not comprehensive or updated. In such scenario, Internal audit cannot comment the reliability and accuracy of these records.
2.
Spare Key Management: It was observed that there is no clearly defined mechanism for the management of spare keys for the vehicles in the rental fleet. On sample basis, we verified that spare keys are found missing. There is no apparent key management system in place to facilitate efficient tracking and retrieval of spare keys.</t>
  </si>
  <si>
    <t>•
The comprehensive process of issuing company vehicles to employees should be defined, maintained, and monitored on a periodic basis.
•
Establish a clear and comprehensive policy outlining procedures for the duplication, storage, and management of spare keys for each vehicle in the rental fleet. Improve the security of the storage area for spare keys with restrict access to authorized personnel only.</t>
  </si>
  <si>
    <t>Management will establish mechanisms for allotting, maintaining, and monitoring of all company use vehicles and apply these procedures accordinglys. We will also define proper procedures for maintaining vehicle spare keys.</t>
  </si>
  <si>
    <t>Inadequate control over quotations received from customers</t>
  </si>
  <si>
    <t>During our review of sample quotations received, we noted the following:
1.1. Quotes are handwritten and unsigned or unstamped from
exhibitions.
(Instances are provided in Appendix # 5, 1.1)
1.2. Quotations were received without closed envelopes. (Instances
are provided in Appendix # 5, 1.2)</t>
  </si>
  <si>
    <t>• Update the policy to increase the reliability of received quotations by
requiring all quotations to be typed, signed, and stamped. Additionally,
adequate controls should be in place to validate the authenticity and
reliability of exhibited quotations.
• Establish a centralized system for receiving and documenting
quotations. This system should require all quotations to be submitted
in sealed envelopes to authorized personnel, irrespective of the
communication channel used.</t>
  </si>
  <si>
    <t>1- Used Cars Dept receiving sealed envelopes from envelope opening committee that submitted by
customers (showrooms and individual) and we have no prior idea about what is written in the
quotations and is it stamped or not, this is the reason of receiving unsigned or unstamped quotations,
Customers will be notified that the quotations must be stamped, except for individual customers.
[Implementation Date: April-2024]
2- Used Cars Dept received a clear instruction from audit to only way to sale the vehicles are through
bidding with sealed envelopes after 25-07-2022.
The process of bidding and receiving price offers will be through the new system and it is expected to be
implemented soon. [Implementation Date: June-2024]</t>
  </si>
  <si>
    <t>Inadequate controls over transfer of vehicles ownership.</t>
  </si>
  <si>
    <t>•
It was observed that vehicles were not blocked (freeze) in the TAMM system which may allow unauthorized transfer of vehicle ownership.
Summary of unfreeze vehicles are mentioned as under as of 9th November 2023: Vehicle Status in TAMM No. of vehicles Percentage
Freeze
3201
42%
Unfreeze
4426
58%
Total
7627
100%
•
It was also noted that customers/users were not authorized/expired in the TAMM system for sold vehicles. رقم اللوح ة تاري خ البيع اسم المستخدم الفع ل
د ب ح 4240
-
06/01/2022
أ ر ر 3708
-
25/09/2022
د ط و 8615
-
30/01/2022
د ب ح 4153
-
12/10/2022
د د ق 5465
-
30/01/2022
د ق ح 7417
-
30/08/2023
ب س ر 8614
-
23/05/2023
ب س ن 4552
-
20/03/2023
د ق و 8061
-
09/02/2023</t>
  </si>
  <si>
    <t>•
Strengthen the control mechanisms within the TAMM system.
•
Develop clear guidelines and processes for promptly blocking/freezing the vehicles in TAMM</t>
  </si>
  <si>
    <t>1
- Fleet control dept is the concerned for freezing d unfreezing the vehicles in TAMM system and used cars dept send request to fleet control to unfreeze only the vehicles that have completed sales process to allow the purchaser to transfer to ownership.
2
- We have started authorizing the sold cars to Insurance companies as well and for other cases will enhance and monitor on regular basis the Tamm authorization.</t>
  </si>
  <si>
    <t>Non-compliance with used car sales policy</t>
  </si>
  <si>
    <t>During the review of the current period used car sales, it was observed that.
advertisements promoting bidding on car-selling sites (Haraj, Saudi Sale,
Motory, etc.) and social networking as stated in the used car sales policy was
not followed. Resulting there is a significant concentration by customers and
total used car sales are moving around only seven customers.
We noted the followings:
• Seven bidders won 62% of all auctions/biddings made.
• These seven bidders purchased 71% of all cars sold during the period
June 2022 to October 2023.
• These seven bidders represent 21% of the total number of bidders
involved.
Currently, BTC WhatsApp business account which have more than 50+
customers are used for bid promotions and advertisements.</t>
  </si>
  <si>
    <t>•
Encourage broader bidders to participate, actively promote the auctions to a wider audience, and explore methods to attract new bidders. This could involve expanding marketing efforts, reaching out to potential bidders, or collaborating and advertising with external auction platforms to diversify the number of participants.
•
Develop and launch advertisements promoting BTC bidding on relevant car-selling sites and social networking platforms.</t>
  </si>
  <si>
    <t>The major consideration of the Used Cars Dept for selling vehicles is the prices that bring profitability to BTC, with the Used Cars dept’s keenness for the auction list to reach the largest number of customers and to try to obtain the best price from them to selling the vehicles.
Further, UCS department will explore and collaborate with used car selling websites to place auction advertisements and increase the customer base.</t>
  </si>
  <si>
    <t>Inadequate control over sales processes</t>
  </si>
  <si>
    <t>• There is no defined mechanism and process of batch formation of
vehicles for sales bidding.
• It was also observed that 253 vehicles sold in 27 bids are less than the
minimum bidding size of 20 units as stated in the policy</t>
  </si>
  <si>
    <t>The Department should establish policies and procedures for batch
formation of vehicles ready for sale bidding.
• Management to ensure adherence to the approved procedures of batch
size must not be less than 20 units.</t>
  </si>
  <si>
    <t>Certain types of vehicles require us to offer them for sale at bid in quantities of less than 20 vehicles because
they are commercial vehicles and other vehicles with a high selling value and depending on the availability of
these types in stock and to encourage customers to Participation in the auction for this type of vehicles. For all
other vehicles except commercial &amp; high value vehicles, we will follow the bidding size criteria.</t>
  </si>
  <si>
    <t>As per approved process of Used car sales, transfer of ownership must be performed within 1 month from the date of Sales Contract.
1.
Internal audit has performed review of invoiced vehicles, but ownership not transferred until 31st August 2023 and observed that invoiced vehicles are pending for Ownership transfers.
Year-wise Used car sales details for Pending Ownership transfers are as under: Year of Invoicing Pending Ownership transfers vehicles
2014
24
2015
69
2016
33
2017
22
2018
13
2019
30
2020
8
2021
36
2022
98
2023
628 Total 961
As stated in the approved sales contract, SAR 50 per day will be charged to the customer if the vehicle is not transferred within 30 days of the invoice. We noted that the company does not charge such amount on sold cars if the ownership is not transferred within the specified timeline.</t>
  </si>
  <si>
    <t>Periodic review of all invoiced vehicles with pending ownerships to be performed and shared with management.
•
Develop a mechanism to ensure that no delays to be occur as per contract in transferring ownership of vehicles to customers after invoicing.
•
Automate reminders and notifications to ensure timely transfers and follow-up.</t>
  </si>
  <si>
    <t>1
- Data already shared with management.
2
- A mechanism has been put in place to ensure the transferring ownership within the period specified in the contract, which is the customer’s payment of (1000 S.R) for each vehicle. The amount of expenses of the vehicle is deducted from the paid amount (insurance expenses calculating by finance DEPT.) if the period limit specified for transferring ownership is exceeded, along with follow-up with customer to force them to transfer ownership.
3
- Automate reminders and notification has been requested in new system.</t>
  </si>
  <si>
    <t>Delay in used cars sales</t>
  </si>
  <si>
    <t>On review of sold vehicles during the year 2022-2023, it was noted that vehicles remained unsold for three to six months and above. 293 out of 3109 were sold under these ageing categories during the audited period.
Ageing summary of sold vehicles are as under:
Year Above 3M Above 6M Above 9M Total 2022 24 7 2 33 2023 239 21 0 260 Total 263 28 2 293</t>
  </si>
  <si>
    <t>•
It is recommended to conduct a thorough analysis of the factors contributing to the delayed sales.
•
Implement measures to expedite the sales performance.</t>
  </si>
  <si>
    <t>The used cars department works to sell vehicles in the shortest possible time after receiving vehicles, but it does not sell vehicles until ensuring that the prices are appropriate for their selling prices in the market, even if this leads to waiting for the appropriate time to sell the vehicles, and some vehicles have ageing because of T/L condition a group of them is collected and sold all at once, while others are of a newer model, so the management priority is to try to search lease customers and lease them again.
We will follow the process to sell the cars in the specified period and enhance the monitoring of aged cars.</t>
  </si>
  <si>
    <t>Internal audit has reviewed the used vehicle stocks currently available at Warehouses dated 03rd October 2023
It was observed that there are 385 vehicles available for sale in used car inventory. 110 vehicles with higher ageing ranging from 90 to 400 days being identified &amp; available in warehouse locations. It was also noted that 1 total loss vehicle is lying more than 5 years.
Ageing analysis details are as under: Ageing Days &lt; 30 Days 31-60 Days 61-90 Days 91-180 Days Up to 1 Year Up to 2 Years Above 5 Years
No. of Vehicles
189
68
17
61
48
1
1</t>
  </si>
  <si>
    <t>•
Stock monitoring reports should be maintained &amp; shared with management monthly basis to identifying the vintage stocks.
•
Used Car department should ensure prioritizing the old stock for early sales (on FIFO basis)</t>
  </si>
  <si>
    <t>We consolidate damaged vehicles to sale as it is in bulk to get good prices &amp; one vehicle ageing above 5 years is not under BTC ownership due that it's lying in the sale yard for this period.
However, we will continue to enhance the process of identifying the aged stock and try to mix/include with latest models to bid and sale as early as possible.</t>
  </si>
  <si>
    <t>Gaps identified in Credit Policy and Procedures</t>
  </si>
  <si>
    <t>Based on review of approved Credit policy and procedure, the following points were noted:
1.
Credit and collection policy has following gaps:
•
No customer blacklisting procedures
•
No procedures for credit limit review at renewal of contract
•
No issuance and implementation date
•
Version number not mentioned.
•
No expiry date and revision mechanism.
2.
Following specified forms are not attached with credit policy as referred on multiple places in credit policy:
•
Credit application form.
•
Credit evaluation form</t>
  </si>
  <si>
    <t>Management should ensure the comprehensiveness of the credit policy and add all the identified gaps in the policy upon renewal.</t>
  </si>
  <si>
    <t>Credit &amp; Collection Manager</t>
  </si>
  <si>
    <t xml:space="preserve">
Management will consider these into account and discuss them with EXCOM to be included - in the upcoming policy update.
It’s already mentioned in the policy index and will include formats of these designated forms in the next update.</t>
  </si>
  <si>
    <t>Nonadherence of Credit Policy and Procedures</t>
  </si>
  <si>
    <t>During the Audit review it was noted that the approved Credit policy and procedures are not being adhered.
As per chapter 11 of credit policy, certain documents are required from Lease credit customers for evaluation and approval of credit. We reviewed 10 sample files of credit customers and noted the following discrepancies:
1)
In 10/10 customer’s files, 3-month advance payment and 8-month promissory notes were not obtained and attached.
2)
In 10/10 customer’s files, 8-month promissory notes were not obtained and attached.
3)
In 05/10 customer’s files, 3 years audited financial statements are not obtained and reviewed.
4)
In 8/10 customers Bayan credit bureau clearance document were not attached in files.
5)
In 2/10 files, VAT certificates were not obtained.
6)
In 3/10 files, Credit applications were available but not signed by customers.
7)
In 5/10 customer’s files, Credit applications singed by client is not available in files.
8)
In 5/10 customer’s files, Company founding Contract were not obtained and attached.
For details of above instances, please see Appendix 1 &amp; 2
Further, we noted that credit customer required documents checklist is not in line with current business requirements and comprehensive as below documents are not included:
1)
Business owner ID,
2)
Bank Statement
3)
Business national address
4)
Client visit report
5)
Bayan Credit bureau
6)
Bank Guarantee</t>
  </si>
  <si>
    <t>•
Credit policy and procedures must be followed to have controls in place and avoid any financial implications.
•
The credit checklist should be updated in line with business practice and requirements and comprehensive.
•
All the required documents should be obtained, reviewed and attached in credit files of lease customers for any future reference.</t>
  </si>
  <si>
    <t>▪The advance payment and the promissory note are requested as a result of the credit study and are exempt based on the credit authority matrix. Example for exceptions companies, the government and semi-government companies, joint stock companies and the big company has a good reputation.
▪For Bayan and Simah, it is dependent upon the availability data provided in their report.
▪We will consider improving the necessary documents and providing further clarification in the revised policy for the companies that are exempt from submitting certain documents, such as the VAT and Foundation Contract in the next update.</t>
  </si>
  <si>
    <t>Long aged Account Receivable connected to high debtor days.</t>
  </si>
  <si>
    <t>During IA review, of Receivable ageing the below long aged receivables
were noted that requires immediate management attention for review
and sufficient provisioning:
1. As of 31 December 2022, accounts receivable balance one year and
above is 50.6M SAR, which is 66% of the total receivables balance of
SAR. 76.4M.
2. The company has a high receivable to sales ratio of 29% in 2019 and
37% in June 2023. Also, for the same period the company has high
debtor days ranging from 108-176 days.</t>
  </si>
  <si>
    <t>Based on the above findings Receivable balance for one year and
above should be reassessed by finance department with assistance
of higher management and legal department and should be
considered for provisioning and write off.
• Management should implement approved collection policy more
actively and strictly and define mechanism to reduce collection
period of invoices to a minimum level</t>
  </si>
  <si>
    <t>1.
The legal department is handling a court case for SAR 50 million (as appearing in the ageing report), and it will take time to settle this amount. We follow up with the legal department every month to ensure that the court cases are collected.
2.
The decline in sales by 10 million and the increase in the average amount due on the SCECO new project bills by 11 million in December 23 are the causes for the 32% increase in the percentage. The lease invoices for 2023 have been fully collected.
3.
We will collect delayed customers in accordance with the credit policy to minimize the average amount outstanding by (sending warning letters, stopping services, repossessing the vehicles, and transferring the defaulting customers to legal).</t>
  </si>
  <si>
    <t>Absence of vehicles wise, client wise and project wise profit and loss report</t>
  </si>
  <si>
    <t>During our review, we found that certain key P&amp;L reports are manually generated rather than extracted directly from the system.
Specifically, profitability segmented by vehicle, client, project and region requires manual compilation due to an inability to produce these reports electronically.
The manual process introduces inefficiencies and risks compared to automated retrieval from ERP data. Configuration enhancements could help generate these important analytics automatically.</t>
  </si>
  <si>
    <t>Management should consider customizing the ERP system or integrating additional reporting tools. Develop a roadmap for enhancing reporting capabilities and provide training to staff for better financial analysis</t>
  </si>
  <si>
    <t>The finance department will engage in discussions with the vendor to develop and generate accurate reports automatically, eliminating the need for any manual intervention</t>
  </si>
  <si>
    <t>Financial Statements Currently Assembled Manually Rather than Produced by ERP System</t>
  </si>
  <si>
    <t>During our review of the organization's financial reporting process, we observed that the ERP system is not currently configured to directly generate audited financial statements as of December 31, 2023.
Specifically, while the ERP can produce trial balance reports, the final financial statements are still prepared manually outside of the system rather than being automatically extracted from the underlying financial data.
Relying on a manual process to compile financial statements from the trial balance introduces risks of errors or inconsistencies compared to an automated workflow directly within the ERP</t>
  </si>
  <si>
    <t>Explore options to enhance the ERP system's capability to directly generate accurate financial statements that align with the audit requirements.
 Implement automated processes or tools within the ERP system to streamline the preparation of financial statements and reduce reliance on manual interventions.
 Provide training to finance personnel on the proper use of the ERP system for financial reporting to improve accuracy and efficiency in the reporting process.</t>
  </si>
  <si>
    <t>Absence of digital archiving system</t>
  </si>
  <si>
    <t> Implement a digital archiving system to complement physical archiving processes and ensure data redundancy.
 Develop and implement policies and procedures for the proper storage and retrieval of finance data using the digital archiving infrastructure.
 Conduct regular testing and validation of the digital archiving system to ensure its reliability and effectiveness in serving as a backup for physical archiving.</t>
  </si>
  <si>
    <t>Data loss or corruption due to reliance solely on physical archiving.
 Increased risk of information being compromised or inaccessible in case of physical archiving failure.
 Inefficiency and lack of scalability in managing finance data retention without a digital archiving infrastructure.</t>
  </si>
  <si>
    <t>Implement a digital archiving system to complement physical archiving processes and ensure data redundancy.
 Develop and implement policies and procedures for the proper storage and retrieval of finance data using the digital archiving infrastructure.
 Conduct regular testing and validation of the digital archiving system to ensure its reliability and effectiveness in serving as a backup for physical archiving.</t>
  </si>
  <si>
    <t>Incorrect classification of legal expenses</t>
  </si>
  <si>
    <t>During audit we noted that legal expenses paid to legal advisor amounting to SAR. 138,000 approximately on monthly basis are classified as Consultancy charges instead of legal expenses (Legal fees relate specifically to services that require a law degree and bar certification).
Outsourced legal office is providing direct legal representation and advice for the company's cases, these would typically be considered legal fees, while consultancy fees generally pertain to advisory services on non-legal matters.
Examples include attorneys drafting legal documents, appearing in court, providing counsel on litigation strategy, compliance issues, contracts etc.</t>
  </si>
  <si>
    <t>Management should reclassify these expenses from consultancy charges to legal expense and ensure accurate classification of expenses as it is very important for data analytics and decision making.</t>
  </si>
  <si>
    <t>Finance Department will change the account description.</t>
  </si>
  <si>
    <t>Absence Of Strategic Planning and Related Mechanism</t>
  </si>
  <si>
    <t>During our review of the strategic planning process, we noted the following:
•	IA noted that approved vision, mission and goal statement is not available.
However, a vision and mission statement are displayed in the corporate office whereas internal audit is unable to verify its approval from BOD.
•	Absence of long-term business strategy and plan e.g. (3 or 5 years’ business plan) approved from board of directors.
•	Absence of any guidelines or/and policy for the strategic planning process. 
•	Absence of formalized mechanism or process to monitor the strategy and plan on a quarterly basis or predetermined timeframe.</t>
  </si>
  <si>
    <t>•	Management should develop a comprehensive vision, mission and goal statement and it will be approved by the board accordingly.
•	Management should develop a policy and framework to regulate the strategic planning process to include but not limited to (the process of capturing and reporting market and competitor data, source information/input parameters used in developing the strategic plan, scenario analysis, and strategy monitoring mechanism).
•	Long term (3 or 5 years) business Strategy and plan should be prepared, reviewed, and approved by board of directors.
•	A Strategy Progress Report should be developed to continuously monitor/oversee the progress against the business plan, strategic objectives/targets and encourage corrective actions and should be reviewed based on defined time periods (e.g., Quarterly) for accuracy and completeness.</t>
  </si>
  <si>
    <t>A consultant has been hired for the development of vision, mission, strategic objective and for business strategy of the company, accordingly management will develop business plan for the company.</t>
  </si>
  <si>
    <t>Absence of Continuity and Disaster Recovery Plan</t>
  </si>
  <si>
    <t>The audit of the organization's operational framework revealed a gap, as it does not currently have a robust Continuity and Disaster Recovery Plan (CDRP) in place. The lack of a comprehensive CDRP poses significant risks to the organization's ability to maintain business operations continuity during unforeseen incidents such as natural disasters, cyber security breaches, or technical system failures. Without a proper CDRP, the organization would be ill-prepared to effectively respond to and recover from disruptive events, which could threaten its long-term sustainability and resilience.</t>
  </si>
  <si>
    <t>•	Develop CDRP designating roles, processes and alternate sites.
•	Conduct a business impact analysis to prioritize essential functions.
•	Create emergency response procedures for different disaster scenarios.
•	Establish backup/restore protocols for critical systems and data.
•	Ensure disaster recovery sites are pre-provisioned as needed.
•	Train staff and test plans through periodic exercises.
•	Secure executive sponsorship and dedicated budget.
•	Comply with regulations by meeting Recovery Time Objectives.
•	Communicate CDRP details and safety procedures organization-wise.
•	Review and update the CDRP regularly based on changes and tests.</t>
  </si>
  <si>
    <t>A comprehensive disaster recovery and continuity plan will be developed and applied accordingly.</t>
  </si>
  <si>
    <t>Inconsistencies /Gaps in Delegation of Authority Matrix</t>
  </si>
  <si>
    <t>During review of the company’s authority matrix and delegation of authorities’ framework, we noted the following:
1.	The Authority Matrix is not illustrating the following.
•	Review and approval of vision, mission, and objectives of company.
•	Authority level for review and approval of the related party transactions and conflicts of interest.
•	Approval Bank facility/ loan agreements
•	Appointment and approval of CEO, CFO, COO, and key managers.
•	Budget variance i.e., 10%-20%
•	Authority for change, updates, review, and approve the Authority Matrix.
•	Appointment of external consultants (&lt; SR 35000) per year. (typing error)
•	OPEX &amp; non-vehicle CAPEX above SAR 200K
•	Maintenance or repair (For approved vendors) &gt; SR 25K
•	No monthly Used Vehicle Sale Pricing Matrix exist (#11.3 to 11.5)
2.	The current authority matrix is not in line with the approved organizational structure. The following positions are not available in approved organizational structure of the company whereas authority matrix has this position and related authority:  
•	MD position (section 11.4).
•	Used car director (section 11.3-5).</t>
  </si>
  <si>
    <t>•	The Authority matrix should be updated to cover all the above identified gaps, and company authority’s levels &amp; authority limits should be updated periodically. 
•	Procedures should be in place to established controls over Authority Matrix to determine who should have access to make modifications (additions, deletions, and other changes) to the Authority Matrix, and shall review the Authority Matrix to ensure the proper alignment between the document and regulatory requirements</t>
  </si>
  <si>
    <t>•	Delegation of authority matrix will be updated and applied accordingly</t>
  </si>
  <si>
    <t>Outdated Organizational Structure</t>
  </si>
  <si>
    <t>During review of company structure and organizational chart approved in February 2019, we noted the following:
1.	Key management position of COO is vacant, and no acting COO has been appointed.
2.	Insurance function is reporting to CFO as per organizational structure but currently it is reporting to operations.
3.	There is a marketing function as per organizational structure but in actual there is no marketing function established in BTC yet.
4.	Currently the position of compliance officer is vacant. 
5.	Sales and procurement functions are under the same manager that is conflicting role and should be under separate leaders.</t>
  </si>
  <si>
    <t>Management should update the organizational structure to align it with the current business needs and reporting lines</t>
  </si>
  <si>
    <t>•	Organizational structure will be updated reflecting the above changes</t>
  </si>
  <si>
    <t>Absence of SWOT analysis</t>
  </si>
  <si>
    <t>The absence of a documented SWOT analysis in strategic planning poses risks. By not systematically analyzing strengths, weaknesses and external opportunities and threats, the ability to understand influential internal and external factors is compromised. This undermines effective strategy development by omitting a key diagnostic that informs strategic decisions. Without appraising the strategic landscape using SWOT methodology, decisions may be inadequately informed</t>
  </si>
  <si>
    <t>•	Develop and implement a standardized SWOT process
•	Conduct initial comprehensive SWOT and regular updates
•	Assign accountability for monitoring internal/external factors
•	Report updated SWOT findings for strategic review
•	Link SWOT to capital allocation, risk management, contingency
•	Establish SWOT impact KPIs
•	Provide training on effective SWOT application
•	Test, document, and refine the SWOT process
•	Monitor and adjust the mitigation plan</t>
  </si>
  <si>
    <t>•	SWOT analysis is performed as a part of strategy development as it provides a comprehensive view of the internal and external factors affecting the business and resource allocation.  An external consultant has been hired for this purpose.</t>
  </si>
  <si>
    <t>Absence of Corporate Social Responsibility Framework (CSR)</t>
  </si>
  <si>
    <t>Currently, the company conducts and contributes in social development informally. However, during our review, we noted the following:
•	Absence of designated framework and policy to govern the CSR activities.
•	Absence of appropriate awareness and education programs to ensure that all employees aware of the objectives of CSR which also in turn contributes to improving the Company’s performance.
•	Absence of documented CSR strategy and activities plan highlighting the planned programs, budget, and social initiatives
•	Absence of CSR representative appointed by the Board and is the designated functionary for planning, implementation, and reporting on CSR activities.
•	Absence of defined objectives and KPIs for CSR activities.</t>
  </si>
  <si>
    <t>•	Develop the CSR Policy, strategy, and activities to include-but not limited to- the following:
1)	1. Activities planned with each organization.
2)	2. Cost/ resources budgeted for each activity.
•	BTC should disclose the objectives of the Company's social responsibility to its employees and raising their awareness and knowledge of social responsibility through regular training and awareness sessions. 
•	Expected dates of carrying out the planned activities and ensure that the prepared plan is approved in line with the CSR Policy</t>
  </si>
  <si>
    <t>Corporate social responsibility draft policy has already prepared and submitted for board approval</t>
  </si>
  <si>
    <t>Lease Operations</t>
  </si>
  <si>
    <t>Absence of the Delegation of Authority for operation activities and department</t>
  </si>
  <si>
    <t>The audit review revealed that there is no formalized Delegation of Authority (DoA) framework in place to define the roles, responsibilities, and decision-making limits for operational activities across department like:
•	approval of replacement vehicles
•	vehicle upgrades
•	early retirement
•	penalties waivers etc. 
This absence of a structured DoA framework creates ambiguity in accountability, hampers efficient decision-making, and increases the risk of operational inefficiencies and unauthorized actions</t>
  </si>
  <si>
    <t>•	Clearly define roles, responsibilities, and decision-making limits for each operational activity and department
•	Establish thresholds for financial and non-financial approvals at different levels
•	Disseminate the DoA framework across the organization and provide training to employees on their roles and responsibilities</t>
  </si>
  <si>
    <t>Less than 1 Year</t>
  </si>
  <si>
    <t>Management will review and develop a comprehensive DoA for all operational activities related to financial and non-financial approvals addressing highlighted areas and will be formally approved &amp; implement accordingly.</t>
  </si>
  <si>
    <t>Vehicle Rentals Conducted Without Formal System Agreements</t>
  </si>
  <si>
    <t>The audit review identified instances where vehicles were rented out without a formal system agreement being created. Instead, vehicles have been delivered on manual agreement &amp; delivery checklist. This bypass established practice, policy and applicable procedures and increases the risk of financial discrepancies, contractual disputes, and operational inefficiencies</t>
  </si>
  <si>
    <t>•	All vehicle rentals must be supported by a formal agreement generated and recorded within the designated system.
•	Implement checkpoints within the rental approval process to ensure the existence of a corresponding system-generated agreement before proceeding.
•	Integrate system controls to prevent the finalization of any rental transaction unless a valid agreement is recorded.
•	Implement alerts or notifications to flag instances of incomplete or missing agreement records within the system</t>
  </si>
  <si>
    <t xml:space="preserve">All these highlighted cases are now with system agreement. Going forward management will ensure that all issuance of rental vehicles must be supported by a system rental agreement with Fleet Express &amp; CarPro. </t>
  </si>
  <si>
    <t>Non-Compliance with Lease Agreement Terms Regarding Early Termination</t>
  </si>
  <si>
    <t>The audit review revealed instances where the premature lease termination penalty clause, as stipulated in lease agreements, were not charged.
This non-adherence resulted in potential financial loss to the organization and non-compliance with contractual obligations.</t>
  </si>
  <si>
    <t>•	Ensure strict compliance with the penalty provisions outlined in lease agreements.
•	In case any waiver of early termination plenty amount approval should be obtained as per approved DOA.
•	Communicate and reinforce the importance of adhering to contractual terms to all stakeholders.
•	Establish a centralized system for monitoring lease agreements, including termination notices and penalty applications.
•	Create a checklist to ensure compliance with all key clauses before lease termination.</t>
  </si>
  <si>
    <t xml:space="preserve">Management will ensure that by going forward no penalty waives to early contract terminations except formally approved as per approved DoA. Operation will arrange with the Collection Department to put up a mechanism to implement the early termination penalty as per lease contract. </t>
  </si>
  <si>
    <t>Inadequate Management of Replacement Vehicle Process</t>
  </si>
  <si>
    <t>There are 109 vehicles as on 11th November 2024 under replacement issued to lease customers against permanent vehicles due to various reasons like repair &amp; maintenance, accidents, stolen, police cases, total loss etc.
21 &amp; 38 vehicles are under replacement with customers for more than 30 days and 60 days respectively. High aging and number of replacement vehicles showing inadequate and ineffective monitoring of replacement function.</t>
  </si>
  <si>
    <t>•	Develop a clear and comprehensive vehicle replacement policy, outlining detailed procedures and turnaround time targets for each replacement scenario (e.g., repair, maintenance, accidents, theft, total loss).
•	Establish key performance indicators (KPIs) and service level agreements (SLAs) to monitor the efficiency of the replacement process.
•	Implement a structured review and approval workflow to ensure timely decision-making and replacement processing.
•	implement a centralized system to track and monitor the status of all replacement vehicles, including aging and turnaround times.
•	Set up automated alerts and notifications to flag any cases exceeding the established turnaround time targets.
•	Conduct periodic audits and process reviews to ensure the effectiveness of the vehicle replacement procedures and controls.</t>
  </si>
  <si>
    <t>Management will establish a comprehensive process along with turnaround time for replacements and ensure periodic monitoring and necessary corrective actions to control delay/aged replacements with customers. In case operation does not issue a replacement, it must be compensated with a credit note to the customer as per contractual terms and the replacement vehicles are running with customers for a long time due to maintenance &amp; insurance repairs delay.</t>
  </si>
  <si>
    <t>The audit review identified a significant number of overdue lease agreements that have remained open in the system even after their contracted termination dates. Specifically, it was observed that there are 156 overdue lease agreements that expired on or before December 31, 2024, but are still marked as "OPEN" in the system. Of these, 27 agreements have been open since as early as 2003 to 2018.  This lapse in timely closure of expired lease agreements can be attributed to two possible scenarios:
•	Some expired agreements may correspond to vehicles that have not been returned by customers, potentially leading to missed revenue opportunities and inaccurate inventory records.
•	Other expired agreements may represent vehicles that have been returned, but the system records have not been updated accordingly, resulting in potential discrepancies in accounting and operational data</t>
  </si>
  <si>
    <t>•	Management should develop a periodic monitoring mechanism to identify &amp; evaluate the long open agreements for expired periods.
•	Management should analyze and take the necessary action of extending, renewing, or closing these agreements in the system on an immediate basis.</t>
  </si>
  <si>
    <t>Management will review and perform comprehensive exercises to correct agreement status based on actual position and will close the required agreements. Most of the highlighted agreements are now extended in system and many are done with the customers’ approval. Going forward management will arrange with the collection, legal, fleet &amp; accounts department to verify the old cases and do the needful to close those agreements.</t>
  </si>
  <si>
    <t>Lack of Structured Customer Feedback Management in Lease Operations</t>
  </si>
  <si>
    <t>The audit review identified a significant gap in the organization's ability to effectively capture, analyze, and respond to customer feedback regarding the operational services provided during the lease term. The lease operations department, which is the primary point of contact for customers, currently lacks a structured mechanism to collect, record, and act upon customer feedback.
This deficiency in the organization's customer feedback management process limits its understanding of customer needs, concerns, and the overall satisfaction with the services provided. Without a robust feedback collection and analysis system, the company is hindered in its ability to identify areas for improvement, address customer pain points, and enhance the overall quality of its lease operations services.
The absence of a structured customer feedback mechanism can negatively impact on customer satisfaction and loyalty, potentially leading to reputational risks and reduced customer retention rates.</t>
  </si>
  <si>
    <t>•	Establish clear processes and channels for customers to provide feedback, including both formal and informal mechanisms
•	Develop a robust feedback analysis and reporting framework to identify trends, prioritize areas for improvement, and track the resolution of customer issues
•	Empower the lease operations team to promptly address customer feedback and close the feedback loop with customers
•	Integrate customer feedback insights into the organization's continuous improvement initiatives and decision-making processes</t>
  </si>
  <si>
    <t>As recommended, management will develop a mechanism to record and share customer feedback and complaints, root cause analysis and periodic monitoring of complaints with concerned departments.</t>
  </si>
  <si>
    <t>Absence of MVPI Renewal Alerts and Notifications.</t>
  </si>
  <si>
    <t>The audit review has identified a significant gap in the organization's processes for managing the renewal of Motor Vehicle Periodic Inspections (MVPI) for the leased fleet. It was observed that there are no automated system-generated notifications or email alerts in place to proactively inform the relevant staff and customers about the upcoming expiry of MVPI.
Furthermore, the audit also found that there is no effective manual mechanism, such as email communications or other channels, established to manage this critical activity. This lack of structured communication regarding MVPI renewals is a concern, as the MVPI renewal clause is already specified in the main lease contract.
It was also noted that there were no subsequent charging of penalties/violation amount to the customers upon delaying MVPI and renewals.
This gap in the MVPI renewal communication process can lead to several adverse impacts, including:
•	Customer inconvenience due to potential disruptions in vehicle usage
•	Non-compliance with regulatory requirements related to MVPI renewals
•	Reputational risks for the organization due to the failure to proactively manage MVPI expiry
•	Financial loss due to violations incurred.</t>
  </si>
  <si>
    <t>•	Develop and integrate a system to send automated alerts (SMS, email, or app notifications) to customers 30, 15, and 7 days before their MVPI expiry.
•	Include details on the renewal process and the necessary steps customers must follow.
•	Ensure that customer contact details and MVPI expiry dates are accurately maintained in the system to enable timely notifications.
•	Any fines or penalties towards violations must be charged to customers as per agreed contract</t>
  </si>
  <si>
    <t>All these highlighted cases were referred to customers and renewals are under process. As recommended, management will coordinate with IT for automated alerts to customers and follow-ups will be made by respective lease coordinators. Upon this if any fines or penalties occur then it will be charged to customers as per agreed contract terms and conditions.</t>
  </si>
  <si>
    <t>Absence of Information Technology (IT) Governance Framework</t>
  </si>
  <si>
    <t>A governance model outlines strategic direction, roles and responsibilities, processes for decision making, reporting and oversight. This helps organizations leverage IT in a manner that optimizes business operations.
The lack of a defined IT governance framework limits the organization's ability to ensure technology initiatives align with and support corporate objectives. 
However, upon review we found: 
•	Formal planning documents such as an approved IT Governance Framework have not been established. As a result, there is no defined approach to how IT will be leveraged in support of organizational goals. 
•	A formal IT steering committee, which usually provides executive oversight of the IT strategy, service delivery and project portfolio, has not been established and implemented. This limits leadership prioritization and accountability for strategic technology initiatives. 
•	A formal IT Risk Management Framework does not exist. Further, periodic risk assessments are not carried out by the IT department to identify, quantify, and prioritize IT risks. 
Concise list of elements that an IT Governance Framework should include:
•	Governance Structure
•	Strategic Alignment
•	Value Delivery
•	Risk Management
•	Resource Management
•	Performance Measurement
•	Policies, Standards, and Procedures
•	Compliance &amp; Legal Requirements
•	Architecture and Standards
•	Decision-making Mechanisms
•	Continuous Improvement</t>
  </si>
  <si>
    <t xml:space="preserve">
•	Develop an IT governance framework that clearly defines priorities, roles, and decision-making processes. This will better align technology with the long-term business plan. 
•	Establish an executive IT steering committee to provide strategic direction and monitor performance against objectives. Regular oversight will help address issues early.
•	Develop a formal Enterprise IT Risk Management Framework tailored specifically for company requirements.  Regular periodic risk assessments should be conducted by the IT team to continuously evaluate threats to systems, assets, data and dependencies. Assessments should identify new and evolving. risks as well as re-evaluate existing risks as the internal/external environment changes. 
</t>
  </si>
  <si>
    <t>Less than 6 Months</t>
  </si>
  <si>
    <t>The IT department will coordinate with Group IT head and BTC higher management to develop IT governance Framework and related documents as mentioned above</t>
  </si>
  <si>
    <t>Absence Of IT Strategy</t>
  </si>
  <si>
    <t xml:space="preserve">An IT strategy is a comprehensive plan that outlines how technology will be used to achieve an organization’s business objectives. Its primary goals are to ensure that IT initiatives are directly aligned with the broader business strategy, maximize the value of technology investments, enhance operational efficiency, and support informed decision-making. By guiding the adoption of secure, cost-effective, and innovative technologies, an effective IT strategy helps organizations stay competitive, manage risks, and drive digital transformation.
During our review, we observed that the BTC does not have a formally approved IT strategy in place. This absence means there is no clear, documented approach for leveraging IT to support and advance the organization’s goals, potentially resulting in missed opportunities and misalignment between technology initiatives and business priorities. </t>
  </si>
  <si>
    <t>Develop an IT strategy that clearly defines priorities, roles, and decision-making processes. This will better align technology with the long-term business plan and objectives</t>
  </si>
  <si>
    <t>The company has already hired a consultant for development of business strategy for BTC, hence, after the completion of the overall business strategy of the BTC, IT strategy will be developed cascading the overall strategy.</t>
  </si>
  <si>
    <t>Absence of Approved Policy and Procedure Manual.</t>
  </si>
  <si>
    <t>During review of existing available IT policies and procedures manual (Draft version), we noted that it is not approved, comprehensive, and updated to meet the current business requirements. 
The gaps and inadequately covered areas are as under: 
•	IT Business Continuity Planning
•	IT Disaster Recovery Planning
•	IT SLA management
•	IT Configuration management
•	IT change management
•	IT Patch management
•	IT Management
•	IT Data Center Management 
•	Cloud services Management
•	IT Monitoring services
•	IT Asset Management 
•	IT Backup and restoration Management
•	IT Incident and Emergency Management.</t>
  </si>
  <si>
    <t>Develop, formalize, approve, and communicate a comprehensive IT policies and procedures manual that aligns with current business operations, technology infrastructure, and regulatory expectations. This should include the establishment of a policy management framework to ensure ongoing maintenance, review, and alignment with evolving business needs</t>
  </si>
  <si>
    <t>Draft policies and procedures have already been submitted to the board secretary for final approval.</t>
  </si>
  <si>
    <t>Weaknesses In Backup Process</t>
  </si>
  <si>
    <t>Our review of IT backup procedures at BTC for its server’s infrastructure, along with specific systems managed by Group IT at the Head Office, identified critical weaknesses.
For BTC's servers, backups are conducted on a regular schedule using Veeam Backup &amp; Replication, with copies stored in two separate locations within the same data center. While server virtualization is in place, virtual machine snapshots are also located in this primary data center.
Furthermore, our examination of backup processes across both Group IT and BTC revealed the following significant deficiencies:
1.	No Verification of Backup Recoverability: There is no documented evidence to confirm that backups performed by either Group IT or BTC can be successfully restored.
2.	Suboptimal Tape Inventory Practices: The management of tape inventories in both Group IT and BTC does not adhere to established best practices.
3.	Lack of Backup Logging and Retention: Neither Group IT nor BTC maintains adequate logs of backup activities, and there is no defined policy outlining how long these logs should be preserved</t>
  </si>
  <si>
    <t>•	Implement a schedule for regular backup testing to ensure that backups are functional and can be restored when needed, Maintain detailed records of all backup tests, including dates, results, and any issues encountered. 
•	Follow best practices for tape library implementation, including regular maintenance, firmware updates, and secure storage locations
•	Schedule frequent backup logs.</t>
  </si>
  <si>
    <t>1.	We will develop and implement regular periodic back-up testing procedures and document it accordingly. 
2.	The company is planning to buy a new server (local Storage) for backup in BTC data center.</t>
  </si>
  <si>
    <t>Absence of Department Organization Structure, KPIs and Job Description</t>
  </si>
  <si>
    <t>During review, IA noted that:
•	Approved organizational structure for the IT department is not available.
•	Job descriptions and succession planning for key staff were not developed and available for review.
•	Absence of a cybersecurity position and function in BTC.
•	No KPIs are defined, approved and communicated to key employees.</t>
  </si>
  <si>
    <t>Management should develop Org. structure, KPI &amp; Job description, succession plan &amp; get it approved as per authority matrix and communicate it to the staff.</t>
  </si>
  <si>
    <t>•	Organizational structure and job description is already drafted and shared with HR; department will coordinate with HR to finalize it and get it approved from CEO.
•	KPIs will be developed and get it approved accordingly.</t>
  </si>
  <si>
    <t>Absence of Disaster Recovery Process and Location Of (DR)Site</t>
  </si>
  <si>
    <t>During our review we revealed that the current state of backup practices presents significant risks that could lead to extended system outages and complex recovery scenarios for system administrators. Robust backup systems are vital for swift system restoration, minimizing operational downtime and its associated impact. Safeguarding and retaining data is paramount for ensuring system integrity and effectiveness.
Our review revealed the following critical shortcomings in backup and recovery preparedness:
1.	No Disaster Recovery (DR) Plan: A formal and documented Disaster Recovery plan is absent, leaving the organization without a defined strategy for business continuity in the event of a significant disruption.
2.	Lack of Offline Backups: Neither Group IT nor BTC performs offline backups, which are crucial for protection against cyberattacks (like ransomware) and logical corruption that could affect online backups.
3.	Insufficient Backup Redundancy and No DR Site: All backup copies are currently stored within the primary data center (NOUR NET). The absence of a secondary Disaster Recovery site means there is no geographically separate location to restore systems and data from in case of a localized disaster affecting the primary data center.</t>
  </si>
  <si>
    <t>•	Schedule regular offline backups with different locations for critical data in Fleet Express and Microsoft Dynamics. Store these backups on secure, encrypted external drives or offline servers.
•	Set up a DR site in a geographically separate location from the primary data center. This site should be capable of taking over operations in case of a failure at the primary site.</t>
  </si>
  <si>
    <t>The department will coordinate with Group IT to check the feasibility of the establishment of DR site and offline back up and proceed accordingly.</t>
  </si>
  <si>
    <t>Weakness In End Point Security</t>
  </si>
  <si>
    <t>In today’s digital landscape, protecting endpoints – devices such as laptops, servers, smartphones, and other connected devices– is crucial for any business. Cyber threats continue to evolve, becoming more sophisticated and harder to detect. Endpoint security controls serve as essential safeguards to protect these devices from malware, ransomware, and unauthorized access. 
During the detailed review of End Point Security, we observed the following discrepancies: -
1.	 Inadequate software installation restriction for normal users.
2.	Absence of Mobile Device Management (MDM) security control to manage end point devices security.
3.	Absence of controls to protect corporate email data on personal devices which are available without applying security restrictions for personal devices, 
4.	Lack of secure wipe performed for sold computers devices; they just format hard drive (HDD).
5.	Lack of security controls for used, free or trial software like Any Disk, WinRAR and VNC</t>
  </si>
  <si>
    <t>•	Implement Group Policies to Restrict Software Installations.
•	Implement MDM to enforce security policies such as device encryption, strong authentication, and regular software updates.
•	Use security wiping with other security measures such as encryption to enhance overall data protection
•	Implement MDM E-mail secured using restrictions
•	Ensure secure wiping is in place and professional software is used to wipe data in case devices being transferred from any new employee or sold.</t>
  </si>
  <si>
    <t>•	The department will coordinate with Group IT and apply the restriction on software installation.
•	Further, we will coordinate with group IT to check and discuss the feasibility of implementing the other recommendations.</t>
  </si>
  <si>
    <t>Lack Of Change management (CM) Process</t>
  </si>
  <si>
    <t>Currently most of the changes are approved by (email) and Mange Engine Tools (Ticketing system), and there is a lack of Change management procedures for the application, database, systems software, network, and hardware to comply with standard and best practice.
 During the review of IT configuration management and change management, we observed the following: -
1.	Absence of formal documented Request for Change (RFC) with full details including proposed change, purpose, scope, and effects on system.
2.	Lack of risk assessment, impact analysis, and resource requirements before authorization and implementation.
3.	Lack of version control to ensure that version control systems are used to track changes for configurations and rules set.</t>
  </si>
  <si>
    <t xml:space="preserve">•	Establish a standardized template for documenting change requests, including impact analysis, approval workflows, and stakeholder reviews. 
•	Implement risk assessments before approving and executing changes to mitigate unintended disruptions. 
•	Establish changing control processes to manage and document all changes to configurations. </t>
  </si>
  <si>
    <t xml:space="preserve">The department will develop a formal process for change management, standardized template and implement it as recommended.
</t>
  </si>
  <si>
    <t>Absence Of Business Continuity Plan (BCP).</t>
  </si>
  <si>
    <t>A robust IT Business Continuity Plan (BCP) is a critical framework designed to safeguard an organization's personnel and IT assets, ensuring a swift and effective return to normal operations in the face of disruptive events, whether natural disasters, cyberattacks, or other unforeseen circumstances. The BCP acts as a blueprint for maintaining essential business functions during and after a crisis. Crucially, the plan's efficacy hinges on rigorous testing conducted under simulated emergency conditions. These tests are invaluable for uncovering hidden weaknesses, validating recovery procedures, and guaranteeing the plan's accuracy and reliability when a real crisis strikes.
During our audit, we identified the following significant gaps:
1.	Lack of a Formally Approved Business Continuity Plan: BTC does not have a formally documented and approved BCP in place. This absence means there is no established framework to guide the organization’s response and recovery efforts in the event of a disruption, increasing the risk of prolonged outages and uncoordinated recovery actions.
2.	No Business Impact Analysis (BIA): There is no evidence that a Business Impact Analysis has been conducted. A BIA is essential for identifying critical business functions, assessing the potential impacts of various types of disruptions, and prioritizing recovery efforts.</t>
  </si>
  <si>
    <t>•	Develop &amp; Formalize a Business Continuity Plan
•	Conduct Risk Assessments to Identify potential threats, assess vulnerabilities, and design mitigation strategies to minimize risks.
•	Perform a comprehensive BIA to identify critical business processes, IT systems, dependencies, and potential impacts of disruptions.
•	Raise Awareness and Training to ensure staff are trained in business continuity procedures and their roles in case of a disruption.
•	Implement Cloud Integration to enhance flexibility and scalability.</t>
  </si>
  <si>
    <t xml:space="preserve">The department will coordinate with Group IT to develop a business continuity plan, related risk assessment and business impact analysis. </t>
  </si>
  <si>
    <t>Inadequate Process for Access Management</t>
  </si>
  <si>
    <t>Access control is a security technique that regulates identification, authentication, and authorization of users or systems attempting to access protected resources. These resources may include:
•	Applications and systems
•	Sensitive data and databases
•	Network infrastructure
•	Physical or virtual devices
The key objectives are:
•	Ensure users can access only the resources explicitly required for their role (need-to-know basis).
•	Enforces least-privilege principles, granting minimal necessary permissions.
•	Prevent unauthorized access through authentication (e.g., passwords, MFA Multi-Factor Authentication) and authorization checks (e.g., role-based access control).
•	Protects against data breaches, insider threats, and cyberattacks.
•	Aligns with regulatory standards (e.g., ISO 27001, NIST, NCA) requiring auditable access logs.
•	Tracks user activities for forensic analysis and policy enforcement.
During the assessment of IT operations, it was identified that the organization has an inadequate Identity and User Access Management process in place. Several noted issues are as under: 
•	Lack of a Single Sign-On (SSO) solution to govern access to all applications.
•	Absence of Privileged Access Management (PAM) tools is in place to monitor the administrative user activity over critical systems and applications. 
•	Lack of periodic access permission review process in place to verify and update user access permissions. 
•	lack Multifactor Authentication (MFA) for critical business applications just found in Azure Microsoft services applications like dynamic and email system.
•	Lack of Virtual Private Network (VPN) Policies to define and enforce procedures for VPN usage, including who can connect, why and purpose.</t>
  </si>
  <si>
    <t>•	Implement SSO solution to enhance security, streamline user access, and improve overall productivity.
•	Use a centralized (PAM solution to manage and control all privileged accounts across the organization.
•	Determine the frequency of Periodic access rights review based on the criticality of the responsibilities assigned, operation and associated risks.
•	Configure (MFA) solution and integrate seamlessly with current applications and infrastructure not just for Microsoft services.</t>
  </si>
  <si>
    <t>•	The department will coordinate with group IT for MFA, SSO, and PAM solutions.
•	Further, the department will coordinate with the Fleet express Vendor for MFA relating to the fleet express system</t>
  </si>
  <si>
    <t>Inadequate Patch Management Process</t>
  </si>
  <si>
    <t>While the IT Group centrally manages patches for core infrastructure components like operating systems, servers, and network devices, a fragmented approach exists for certain critical business applications within BTC, specifically Microsoft Dynamics, Car Pro, and Fleet Express. Notably, the deployment of patches for Microsoft Dynamics and Fleet Express is currently a manual process. This decentralized and largely manual approach lacks a centralized vulnerability and patch management solution, hindering the automation of crucial steps such as identifying security weaknesses, testing patches for compatibility, and deploying them efficiently across all systems.
This absence of a unified and automated system creates several challenges and potential risks for the organization's security posture and operational stability. Manual patching is inherently time-consuming, prone to human error, and can lead to inconsistencies in patch levels across different systems. Furthermore, without a centralized view of vulnerabilities and patch status, it becomes difficult to prioritize critical updates and ensure timely remediation of security flaws, potentially leaving systems exposed to known exploits for extended periods.
During our review of the patch management, we observed the following: -	
1.	Absence of formal documented process or policy for Patch Management.
2.	All patches managed by BTC are deployed manually and absence of automated tools for Patch Management.
3.	Lack of formal Roll back document.
4.	Absence of Patch Management KPI criteria documentation.
5.	Lack of detailed new patch notification from vendor about patch implementation.</t>
  </si>
  <si>
    <t xml:space="preserve">
•	Create a detailed patch management policy that outlines procedures for identifying, prioritizing, testing, and deploying patches
•	Implement automated tools to streamline the patching process, reducing the risk of human error and ensuring timely updates.
•	Develop detailed instructions for each step of the rollback process, including pre-and post-rollback checks.
•	Establish specific, measurable, achievable, relevant, and time-bound (SMART) KPIs for patch management, such as patch deployment time, compliance rates, and the number of vulnerabilities addressed.
•	Collaborate with Third-Party Vendor to Provide feedback with formal document for New Patch with full details about Request information, clarification criteria, Risk assessment, testing, roll back approved from BTC.
•	Regularly review and validate patch categorizations to ensure accuracy and develop a formal process for mitigating unpatched vulnerabilities.</t>
  </si>
  <si>
    <t xml:space="preserve">•	The department will develop a policy for patch management in the next version of policies and procedures relating to IT.
•	We will coordinate with the group IT to check the feasibility of automation of Patch Management process. </t>
  </si>
  <si>
    <t>Lack Of IT Incident Management Procedures.</t>
  </si>
  <si>
    <t>An effective IT Incident Management Process is essential to ensure timely detection, response, and resolution of IT-related disruptions. A structured and formalized approach helps minimize downtime, maintain service availability, and preserve customer satisfaction and business continuity. Without such a framework, incidents may be handled inconsistently or delayed, increasing the risk of operational outages and service degradation.
The absence of a formalized IT incident management process can significantly increase system downtime, reduce customer satisfaction, and cause operational disruptions. Without structured procedures, the organization struggles to respond promptly and effectively to IT incidents, leading to prolonged outages, financial losses, and reputational damage. While daily issues are logged and addressed using the ManageEngine ServiceDesk Plus tool, there are no documented metrics, statistical analyses, or containment strategies to guide problem resolution or prevent recurrence.
During our review of the incidents and Problem Management, we observed the following: -
•	Absence of IT Incident Management and Emergency policy.
•	Lack of incident Resolution Time matrix practices.
•	Lack of procedures for incidents classification based on severity and impact.
•	Absence of periodic incident Reporting and Analysis.</t>
  </si>
  <si>
    <t>•	Create IT incident and emergency policy that outlines the procedures for identifying, responding to, and recovering from incidents and emergencies.
•	Ensure the policy covers all types of incidents, including cybersecurity breaches, system failures, and natural disasters.
•	Utilize automated tools to manage incidents. These tools can help in tracking, reporting, and resolving issues more efficiently. Automation ensures that incidents are logged and prioritized correctly, reducing response times.
•	Implement a structured system for reporting and analyzing incidents and their root causes.</t>
  </si>
  <si>
    <t>The department will develop incident management policy and procedures and implement accordingly.</t>
  </si>
  <si>
    <t>Weaknesses identified in Physical and Environmental Security</t>
  </si>
  <si>
    <t>Currently, there are various systems installed for safety in BTC Data center, certain equipment and application licenses need to be updated and renewed to keep safety requirements in line with the best industry practices and accelerated developments in the market.
During the Review of Physical &amp; Environment Security we observed the following: -
1.	Absence of Water/Leak and Humidity sensor.
2.	Absence of FM200 fire system for data center. The current system in use does not align with the best industry practice for infrastructure and primary data center.
3.	Absence of additional UPS (uninterruptible power supply) in the data center room.
4.	Unsecure of certain network cabinets opened with poor cable management.
5.	Lack of safety from storing some equipment inside the data center.
6.	Lack of Monitoring Dashboard and alerts/ notification for environmental monitoring system during working or non-working hours, currently monitoring is performed manually by facility department.
7.	Absence of physical log or data center visitor log.
8.	Access control software for data center is not implemented.
9.	Lack of periodic review of data center access privileges.</t>
  </si>
  <si>
    <t xml:space="preserve">
•	Use Water/Leak and Humidity sensor to protect data center valuable assets, and sensitive equipment from water and humidity damage.
•	Use FM200 for more safety, Foam fire suppression systems can be used in areas where water damage is a concern. They are effective in smothering fires and preventing re-ignition
•	Implement fully mirrored UPS systems for complete failover.
•	Ensure all network cabinets are locked and accessible only to authorized personnel and Conduct Schedule regular checks to ensure cables are in good condition and securely fastened.
•	Avoid storing any kind of extra equipment in IT Data Canter.
•	Conduct Real-time Monitoring with SMS or email alerts and integrate data from third-party sensors to provide a comprehensive view of server room conditions.
•	Schedule regular reviews of logs to identify and address potential issues promptly.
•	Use software to manage access permissions and monitor entry points effectively.
•	Schedule periodic reviews to ensure access permissions are up-to-date and aligned with current roles and responsibilities</t>
  </si>
  <si>
    <t>The IT department will upgrade the data center and will consider observation #1-6 and implement accordingly.
Further the IT department will review and improve access controls as given in observation # 6-9.</t>
  </si>
  <si>
    <t xml:space="preserve">Inadequate Network Monitoring </t>
  </si>
  <si>
    <t>Network monitoring is vital for ensuring the security, performance, and reliability of an organization’s IT infrastructure. It involves the continuous observation of network components—such as routers, switches, firewalls, servers, endpoints, and applications—to detect anomalies, performance issues, or security threats. The absence of robust, 24/7 network monitoring tools and processes hinders the real-time identification of vulnerabilities, leaving the network susceptible to cyberattacks, performance degradation, and unauthorized access. Effective monitoring relies on tools like Network Performance Monitoring (NPM) solutions, Security Information and Event Management (SIEM) systems, and Intrusion Detection/Prevention Systems (IDS/IPS), which provide visibility, alerting, and analytics to proactively manage risks.
Most of Services are managed currently by IT Group, and the following gaps are identified during the review:
1.	Absence of 24/7 real-time monitoring tools and dashboard. 
2.	lack of alerting mechanisms and notification in real time.
3.	Absence of centralized Security information and event management (SIEM)Tools for events management.
4.	Absence of log analysis for Intrusion Detection System (IDS) and Intrusion Prevention System (IPS).</t>
  </si>
  <si>
    <t>•	Implement tools for continuous monitoring of network traffic, user activities, and system logs to identify and mitigate threats promptly.
•	Implement alert/notifications system across multiple channels such as email, SMS, and mobile apps to ensure timely communication.
•	Implement SIEM tools for significantly enhance security posture, ensuring better protection against threats and compliance with regulations. 
•	Integrate IDS and IPS logs with Security Information and Event Management (SIEM) systems for comprehensive threat detection and response</t>
  </si>
  <si>
    <t>All the network is handled by the Group IT team, BTC IT department will coordinate with the group to improve and implement network monitoring tools.</t>
  </si>
  <si>
    <t>Inadequate Network Security Controls</t>
  </si>
  <si>
    <t>Weak network security makes it easier for cybercriminals to exploit vulnerabilities, leading to data breaches, unauthorized access, and other malicious activities.
During the Review of Network Security, we observed the following: -
1.	Inadequate firewall security control for enabling massaging protocols (whatsapp.com-gmail.com-snapchat) for normal users.
2.	Inadequate firewall security control for certain open ports services such as (ftp-ssh) 
3.	Lack of Logs and Audit Trail for systems and applications Kerridge, Microsoft Dynamic, Carpro and Fleet.
4.	Lack of backup of firewalls configuration for all BTC branches firewalls
5.	Absence of Network Data Loss Prevention (DLP) tools 
6.	Absence of Network Access Control (NAC) tools</t>
  </si>
  <si>
    <t>•	Use security solutions to restrict and monitor messaging protocol traffic.
•	Regularly review and close any ports that are not required for business operations
•	Enable logs for system admin applications (Dynamic, fleet control) and ensure protected against tampering and unauthorized access.
•	Conduct Comprehensive Data Discovery to identify and classify, categorize sensitive data based on its importance and risk level within network to ensure it is adequately protected and create comprehensive DLP policies that define how data should be protected and shared.
•	Choose a NAC solution that fits the network’s needs, providing comprehensive visibility and control over all devices and users.</t>
  </si>
  <si>
    <t>•	All the network is handled by the Group IT team, BTC IT department will coordinate with the group to improve and implement network security and controls as mentioned in the recommendations.
•	Relating to point#3, BTC will handle logs and audit trails of fleet Express and Micro Soft Dynamix, and Group IT will handle CarPro and Kerridge.</t>
  </si>
  <si>
    <t>Weakness In Application Security</t>
  </si>
  <si>
    <t>Application security describes security measures at the application level that aim to prevent data or code within the app from being stolen or hijacked. It encompasses the security considerations that happen during application development and design, but it also involves systems and approaches to protect apps after they get deployed.
During the Review of Application security, we observed the following: -
•	Absence of Web Application Firewall (WAF) to safeguard the applications from threats by monitoring, filtering, and blocking malicious data packets.
•	Absence of penetration test and vulnerability assessment.
•	Inadequate Security controls for internet browsers implemented as users saving passwords on their internet browser like (Google Chrome, Mozilla Firefox, Microsoft Edge).</t>
  </si>
  <si>
    <t>•	Configure WAF to filter and block malicious traffic by defining security rules based on common attack patterns.
•	Perform vulnerability assessments to identify potential weaknesses in applications. 
•	Schedule regular penetration tests to identify and address security vulnerabilities in applications. This proactive approach helps mitigate risks before they can be exploited.
•	Enforcing password policy across all systems and applications and conducting ongoing training sessions and cyber security awareness for BTC employees covering topics like phishing, password security, safe web browsing, and social engineering</t>
  </si>
  <si>
    <t>The IT department will coordinate with the Group IT for the implementation relating to the above recommended points.</t>
  </si>
  <si>
    <t>Gaps Identified In SLA Management</t>
  </si>
  <si>
    <t>Effective Service Level Agreement (SLA) management is essential for ensuring that outsourced services, particularly cloud-based and third-party services, meet the required standards of performance, availability, and responsiveness. Poor SLA management can significantly disrupt business operations by causing delays in service delivery, increasing operational costs due to inefficiencies, and exposing the organization to compliance risks and potential contractual penalties.
Without clearly defined performance metrics, regular monitoring, and accountability frameworks, organizations are unable to assess vendor performance accurately or take corrective actions when service levels fall short. This undermines strategic partnerships, reduces competitive advantage, and weakens internal control over critical IT and business processes.
On the other hand, implementing robust SLA management practices enables better coordination between internal teams and service providers, enhances compliance with regulatory and contractual obligations, and supports continuous improvement in service delivery.
During the audit we noted that:  
1.	Absence of KPI Criteria for Measuring SLA Performance.
2.	Absence of periodic SLA Monitoring.
3.	lack of formally defined RACI (Responsible, accountable, consulted and informed) roles and responsibilities for cloud services.</t>
  </si>
  <si>
    <t>•	Create detailed policies cover all aspects of SLA management, acquisition, service delivery, and supplier agreements. 
•	Use a centralized system to manage relationships, track performance, and ensure compliance with contractual obligations.
•	Develop and implement specific KPIs to measure performance, such as delivery times, quality standards, and compliance rates.
•	Utilize automated tools to continuously monitor SLA performance, ensuring real-time tracking and reporting.
•	Create a RACI matrix to clearly define the roles and responsibilities for all parties involved in cloud services and integrate the RACI matrix with project management tools to streamline processes and improve efficiency</t>
  </si>
  <si>
    <t>The IT department will develop KPIs and RACI and monitor the SALs on a periodic basis.</t>
  </si>
  <si>
    <t>Absence Of Training Plan</t>
  </si>
  <si>
    <t xml:space="preserve">An IT training plan is a systematic approach to educating employees about the importance of information technology and providing them with the necessary skills and knowledge to use it effectively in the workplace. 
Further, cybersecurity awareness programs are crucial to mitigate relevant risks and ensure that BTC is resilient for delivery services
During the review, the Internal Audit team noted that:
•	The IT training plan is not developed to ensure the IT staff have the necessary skills and knowledge to manage technology effectively and securely in the workplace. 
•	IT training sessions (workshops and live training) are not provided for IT staff. 
•	Lack of cyber security awareness program/workshop and training.
•	Lack of ethical IT training. </t>
  </si>
  <si>
    <t xml:space="preserve">•	Conduct a Needs Assessment to Identify the specific skills and knowledge gaps within organization. This will help tailor the training program to address the most critical areas.
•	Create a structured IT training plan/cyber security awareness program that includes a mix of classroom training, online courses, workshops, and on-the-job training 
•	Continuously assess and update the ethics training program to keep it relevant and effective in addressing new ethical challenges. </t>
  </si>
  <si>
    <t xml:space="preserve">IT department will coordinate with HR to develop and arrange a training program for IT staff, cyber security awareness campaigns and programs. </t>
  </si>
  <si>
    <t>Inadequate IT Asset Management Controls</t>
  </si>
  <si>
    <t>During the review of IT Asset Management, the Audit team noted the following: 
1.	IT Asset Register is maintained manually on excel and updated in Kerridge system (Fixed Asset Register) on ad-hoc basis and various stages of asset lifecycle including procurement, classification and labeling, deployment, maintenance, support, and retirement /disposal, etc., are missing in the register. 
2.	Absence of centralized asset management system for comprehensive maintenance and monitoring of all assets relating to IT including (servers, routers, firewalls, storage devices)
3.	Absence of secure asset disposal mechanism performed for IT storage units.
4.	Absence of Assets Scanning Tools for (IN -Out) Tracking and Monitoring of assets.
5.	Absence of license management for tracking, distribution, and utilization functions</t>
  </si>
  <si>
    <t xml:space="preserve">•	An IT asset register should be maintained and integrated with Microsoft dynamic including the details such as asset tag, description, asset type (owned/leased), acquisition date, corresponding PO details, number of licenses (in case of software), license type, number of installations, number of users, model number, make, asset serial number, employee name, disposal date, proceeds on disposal, and active lifetime shall be captured in the asset register/ inventory. </t>
  </si>
  <si>
    <t>The IT department will check the dynamic system and finance, if it can provide access and modification rights to IT staff relating to IT assets.  Otherwise, will check the possibility of implementing another system facilitating the above functions.</t>
  </si>
  <si>
    <r>
      <t>Weaknesses Identified In the Budgetary</t>
    </r>
    <r>
      <rPr>
        <b/>
        <sz val="11"/>
        <color rgb="FFFFFFFF"/>
        <rFont val="Calibri"/>
        <scheme val="minor"/>
      </rPr>
      <t xml:space="preserve"> Process.</t>
    </r>
  </si>
  <si>
    <t>During the review of budget and related process, we observed the following: 
1.	Absence of approved IT budget for the year 2024, However an unapproved excel base IT budget is provided to us.
2.	There is no variance analysis available for review.
3.	The budget provided does not cover the expected cost/expenses for the following important areas:
•	Data Center Environment Maintenance
•	Cyber security Management and Monitoring Tools Costs
•	Training and Awareness Costs.</t>
  </si>
  <si>
    <t xml:space="preserve">•	Develop a comprehensive IT budget that should be aligned with the organization's strategic goals and objectives. This budget should encompass all IT-related expenses, including hardware, software, staffing, training, maintenance, and cybersecurity measures. </t>
  </si>
  <si>
    <t>The IT department will coordinate with finance in the next budgetary process, will prepare detailed budget for IT and submit for final approval</t>
  </si>
  <si>
    <t>Inactive Corporate Website</t>
  </si>
  <si>
    <t>A website helps business build brand awareness and reach new customers. It showcases products or services and generates awareness about them. A premium and well-designed website increases online visibility, reaches the right audience and further expands business.
During the review we noted the following deficiencies:
1.	The website has been down for a long time, and it prevents us from ensuring that website is meeting security requirements as per best practices. 
2.	Weaknesses identified in previous port security configuration, port 2083 is opened.
3.	Lack of periodic backups of website.</t>
  </si>
  <si>
    <t>•	Establish a premium, bespoke and well-designed Website for BTC to enhance visibility and credibility and trust. 
•	Restrict access to open ports and give permissions just for trusted IP addresses.
•	Conduct regular backup for BTC website and any configuration made.</t>
  </si>
  <si>
    <t>Website updating is already in progress by the IT team and CEO. It’s under development and will be launched after CEO final approval. The IT team will consider observation point # 2 and 3 during the development.</t>
  </si>
  <si>
    <t>Job cards pending with excessive delay</t>
  </si>
  <si>
    <t xml:space="preserve">Observation: 
We noted that 6123 job cards (Internal &amp; external) are under status Open &amp; Pending as of 9th February 2025. Out of which 5023 pending job cards pertaining to the year 2015-2020.
Region-wise ageing analysis for pending job cards are as under:
Region	2015	2016	2017	2018	2020	2021	2022	2023	2024	Total
42-Workshop Jeddah                                	751	743	1058	239	90	1	32	70	77	3061
30-Workshop Riyadh	-	-	576	734	107	94	104	16	205	1836
17-Workshop South                                 	-	-	103	18	103	8	85	21	54	392
74-Workshop Qassim                                	-	-	168	103	54	10	17	10	10	372
62-Workshop Khobar                                	-	-	-	-	-	-	26	61	122	209
34-Workshop Medina                                	-	-	58	8	-	-	24	4	32	126
48-Workshop Yanbu                                 	-	-	84	2	3	-	4	-		93
63-Workshop Khafaji AOC                            	6	4	3	2	2	-	2	-	5	24
54-Workshop Jubail	-	-	-	-	4	1	3	-	2	10
Grand Total	757	747	2050	1106	363	114	297	182	507	6123
</t>
  </si>
  <si>
    <t>•	The maintenance department must ensure every month all job cards should be closed with minimum exceptions having adequate reasoning like major repairs/non-availability of parts related issues.
•	Maintenance department should ensure not to process such invoices which has been delayed in workshop without proper justification</t>
  </si>
  <si>
    <t>There are currently open cards in the system, and the IT department has been notified. Right now, the actual number is 4,628 work cards, and they are in the process of being closed. In the new system, no repaired vehicle will be transferred to customers unless the workorder &amp; job card are closed in system and vehicle status is Ready.</t>
  </si>
  <si>
    <t>Delayed Job Card Opening and Post-Facto Documentation</t>
  </si>
  <si>
    <t xml:space="preserve">
During audit review of job cards, it was observed that in several instances, the job card opening and closing dates were the same or within a very short interval, despite the nature of repairs (like major accident repairs, engine &amp; transmission overhauling etc.).  Whereas scope of work indicated that the repairs were substantial and time-consuming &amp; work completion would have required multiple days. 
This indicates a delay in the timely opening of job cards, possibly resulting in post-facto documentation rather than real-time recordings of maintenance activities.
Sample job cards are mentioned as under:
Refer Annexure 3 for details</t>
  </si>
  <si>
    <t>•	Reinforce the policy that job cards must be opened at the actual start of repairs, capturing real-time status of vehicle downtime.
•	Integrate system alerts flag job cards with overlapping or identical open/close dates, especially for high-cost or time-intensive jobs.
•	Conduct regular internal reviews and staff training to ensure compliance with maintenance documentation protocols.</t>
  </si>
  <si>
    <t>They have been closed due to not opening a maintenance card in a timely manner, as the card was opened by the insurance department in accident cases. There is only one instance of mechanical repairs where our team in the Jeddah branch was unable to open and close the cards due to a system malfunction and lack of internet at the workshop site. Nevertheless, all branches have been notified of this issue. 
It will be followed and monitored by the Head Office Maintenance Supervisor on a monthly basis and submit this report to the Maintenance Manager.</t>
  </si>
  <si>
    <t>Excessive Maintenance Frequency and Cost for Certain Vehicles</t>
  </si>
  <si>
    <t xml:space="preserve">
During audit review for the year 2024, it was observed that several vehicles with a high frequency of job cards and extensive repair histories over short timeframes. There is no formal mechanism to analyse root causes such as vehicle condition, misuse, or inadequate repairs.
Sample vehicles with higher repair cost is as under:
Plate	Model	Total job cards	Total Amount
4545BSN	Partner 1.6L Van DSL M/T +CU HT50+Logo	25	41,029
4540BSN	Partner 1.6L Van DSL M/T +CU HT50+Logo	26	27,114
4525BSN	Partner 1.6L Van DSL M/T +CU HT50+Logo	15	26,271
2564ASE	NPR 4T LWB AC MT+INS W SW/RR/DR+HWASUNG HT100+SGD	28	25,532
7589ASS	NPR 4T LWB AC MT+INS W SW/RR/DR+HWASUNG HT100+SGD	17	25,368
2212ASE	NPR 4T LWB AC MT+INS W SW/RR/DR+HWASUNG HT100+SGD	32	25,118
9489ASX	NPR 4T LWB AC MT+INS W SW/RR/DR+HWASUNG HT100+SGD	24	24,053
7362AST	NPR 4T LWB AC MT+INS W SW/RR/DR+HWASUNG HT100+SGD	19	23,865
9949ARG	STARIA 3.5L A/T 2WD GAS 9 PSG	18	23,345
8230ASE	FRR90Q 7.68TON LWB+DRYBOX+SLIDE DOORS L+R+SB M/T D	20	23,143
7791BSJ	Hi-ace hi-roof DSL CU (+5+15)	42	22,525
1030ARH	STARIA 3.5L A/T 2WD GAS 9 PSG	20	21,902
1843ARH	STARIA 3.5L A/T 2WD GAS 9 PSG	20	21,674
2520ARH	STARIA 3.5L A/T 2WD GAS 9 PSG	23	21,490
9518ARG	STARIA 3.5L A/T 2WD GAS 9 PSG	19	20,216
1623AST	NPR 4T LWB AC MT+INS W SW/RR/DR+HWASUNG HT100+SGD	25	20,185
8764AVV	COUNTY DLX 25-S 3.5L V4 DSL M/T	19	20,146
Refer Annexure 4 for full details</t>
  </si>
  <si>
    <t>•	Establish a formal review and escalation process for vehicles with multiple job cards or high repair frequency. This should include root cause analysis, cost-benefit evaluations (e.g., repair vs. replacement), and corrective actions such as retraining, process changes, or decommissioning contracts.</t>
  </si>
  <si>
    <t>Excessive Repeat Repairs and Lack of Automated Tracking</t>
  </si>
  <si>
    <t>Observation:
1.	During the audit of vehicle maintenance records for the period January 2024 to December 2024, it was identified that several vehicles underwent similar repair jobs like AC gas refilling, Batteries, Brake pad replacement &amp; Tyres for multiple times within a short span. In some cases, identical or similar jobs were repeated within couple of months which is inconsistent with standard maintenance schedules and expected service intervals.
Further we noted that in certain cases vehicles with latest models and low mileage went under such repairs are generally not expected in the early life cycle of a vehicle, raising concerns about potential issues with extra cost, vehicle usage, handling, or quality control
Summary on sample vehicles repair within a year 2024 are mentioned below:
Type of Repair	No. of vehicles	No. of Repairs	Repair frequency within a year on single vehicle
AC Gas refilling	16	64	4 times
	36	108	3 times
Batteries	1	4	4 times
	4	12	3 times
Brake Pads	3	9	3 times
	14	28	2 times
Tyres	12	61	5-6 times
	144	576	4 times
	366	1098	3 times
Refer Annexure 5 for full details
2.	It was also noted that Maintenance Department does not currently have an automated mechanism in place to track repeat job orders for the same vehicles or issues. As a result, recurring maintenance problems are not systematically identified, monitored, or analysed</t>
  </si>
  <si>
    <t>•	Implement a centralized maintenance tracking system to flag recent jobs on vehicles and alert against premature or duplicate work.
•	Enforce review and approval workflows before authorizing repeat jobs.
•	Regularly audit vendor invoices and maintenance logs for accuracy and necessity.
•	Train staff on standard service intervals and ensure adherence to preventive maintenance plans.
•	Implement a tracking mechanism within the maintenance system to flag and monitor repeat job orders. This could include automated alerts, historical job linkage, and root cause analysis tools to support continuous improvement, reduce costs, and enhance vehicle reliability.</t>
  </si>
  <si>
    <t>Regarding batteries, brakes, and tires, it was noted after signing the contract with the company Tahakom that there was a clause requiring tire replacement every 25,000 km. Currently, all of the company's vehicles have exceeded 140,000 km in less than a year due to excessive use. There are many cases of misuse due to additional equipment and cameras that damage batteries and brakes. As for vehicles charged with refrigerant, these problems are common in the event of accidents or air conditioning system malfunctions, especially with the deterioration of the vehicle's condition and surrounding conditions
In new system (Fleet Express), maintenance system flag notifications for repeat jobs orders. Also, HO Maintenance Supervisor will review &amp; monitor excessive repairs on quarterly basis and submit report to maintenance manager for his necessary action</t>
  </si>
  <si>
    <t>Weaknesses in Job Card Lifecycle Management</t>
  </si>
  <si>
    <t xml:space="preserve">There is a lack of control over job card management and monitoring in the vehicle maintenance process. It was observed that there is a significant delay in closing job cards after maintenance activities are completed. In several instances, job cards remained open for extended periods, even after the physical work on the vehicle had been completed.
Samples are mentioned as below:
</t>
  </si>
  <si>
    <t>•	Implement clear standard operating procedures (SOPs) with defined timelines for closing job cards post-completion of work.
•	Train maintenance staff on the importance of prompt job card updates.
•	Monitor compliance regularly and introduce accountability mechanisms.</t>
  </si>
  <si>
    <t>There are certain limitations and errors in the previous system. Now, after starting the Fleet Express program on 6/7/2025, no one can perform any action without closing the previous card. It is mandatory to close the card immediately upon completion of the work.</t>
  </si>
  <si>
    <t>Ineffective Authority Matrix in Maintenance Department</t>
  </si>
  <si>
    <t xml:space="preserve">
The current authority matrix within the Maintenance Department is not in accordance with current business requirements to control or govern maximum transactional activities such as approval of repair jobs, vendor engagements, and maintenance-related expenditures. 
It was noted that extensive authority is given to Branch Supervisor (up to SAR 4000) resulting in 99% of total job cards approved by him and less than 1% approvals lie with Maintenance Manager, hence resulting in operational inefficiencies and weak internal control.
Summary for 2024 job cards mentioned below:
Workshop	Below SAR 4000 (Br. Supervisor)	SAR 4000 – 6000 (Asst. Manager)	SAR 6000 – 10000 (Maint. Manager)	SAR 10,000 Above (COO)
	# Job cards	Amount	# Job cards	Amount	# Job cards	Amount	# Job cards	Amount
Garage RUH	14,227	3,481,596	55	255,052	11	84,191	18	336,903
Jeddah Workshop	8,433	3,342,461	26	133,866	16	122,478	5	73,612
Khobar Workshop	6,615	2,559,360	48	245,252	11	77,747	-	-
South Workshop	3,122	1,312,250	10	47,362	2	14,064	-	-
JUBAIL WORKSHOP	1,848	445,272	6	26,620	1	8,055	-	-
BTC Madina Workshop	803	550,177	11	54,237	18	132,235	2	22,055
Hail Workshop	504	195,545	4	20,510	1	6,778	-	-
Qassim Workshop	374	380,640	12	58,558	4	31,278	-	-
Yanbu Workshop	56	31,906	1	4,096	-	-	-	
Total	35,982	12,299,206	173	845,552	64	476,826	25	432,570
      *Routine services from network workshops excluded</t>
  </si>
  <si>
    <t>•	Revise the authority matrix for the Maintenance Department to clearly define roles, approval levels, and monetary thresholds should be in accordance with the current business requirements.
•	Automate controls within maintenance management systems (e.g., restrict approvals in the system based on role/limit).
•	Communicate with all maintenance personnel the updated matrix and reinforce compliance
•	Establish a periodic review to ensure ongoing relevance and enforcement of the matrix.</t>
  </si>
  <si>
    <t xml:space="preserve">The Maintenance Department will revise the current authority matrix &amp; will seek approval from higher management and implement accordingly. The existing approval levels and monetary thresholds will be reduced for Regional/Branch Supervisor. </t>
  </si>
  <si>
    <t>Weaknesses in Maintenance Contract Governance</t>
  </si>
  <si>
    <t xml:space="preserve">Workshop &amp; Supplier contracts are important to achieve a better quality of service, competitive prices, and most suitable credit terms. During review of active contracts of 41 workshops and 10 Suppliers as of December 2024, the following discrepancies were observed and noted:
•	10 out of 41 workshops had no contracts. Only rate card available
•	20 out of 41 available workshop contracts had no price list/Rate Card.
•	3 out of 41 available workshop contracts were not vetted by the legal department.
•	12 out of 41 workshop contracts do not have warranty clauses for repeated jobs.
•	19 out of 51 workshops &amp; suppliers’ contracts are outdated/expired.
•	1 out of 51 available contracts has no credit period mentioned.
•	8 out of 10 suppliers had no contracts. Only rate card available </t>
  </si>
  <si>
    <t>•	Develop clear, consistent templates for all contract types (workshop, supplier, service, supply, etc.) to ensure all necessary clauses are included and legal requirements are met
•	Immediately initiate the process of formalizing contracts with all workshops and suppliers currently operating only on rate cards
•	Amend existing contracts to include clear and comprehensive price lists or rate cards.
•	Establish a mandatory policy that all contracts, regardless of value or type, must be vetted and approved by the legal department before execution
•	Implement an automated alert system to notify relevant stakeholders well in advance of contract expiration dates</t>
  </si>
  <si>
    <t>All contracts are handled by the legal department, and we have approved fixed prices for all repairs. The contracts with notes will be reviewed and provided soon.</t>
  </si>
  <si>
    <t>Lack of Systematic Evaluation of Third-Party Workshop Performance</t>
  </si>
  <si>
    <t>During the audit review, it was noted that Maintenance department had not monitoring the performance of the contracted workshops. Evaluation criteria such as:
•	Quality of job performed
•	Repeat cases
•	Turnaround time for repairs
•	Space &amp; infrastructure availability
•	Availability of skilled technicians
•	Cost effectiveness
It was also noted that there is performance review/evaluation checklist, but no formal vendor evaluation performed for third-party workshops during the year 2024.</t>
  </si>
  <si>
    <t>•	Management should measure efficiency of the Workshops like vehicle repeat jobs, any damages during repair, quality of work done, turnaround time for repair, cleanliness, etc.
•	Conducting evaluation of workshops in the maintenance and repair of company’s vehicles as a means of assessing their capacities and efficiencies
•	Inspection visits to be conducted in workshops to check how the company’s vehicles are maintained</t>
  </si>
  <si>
    <t>The maintenance Department will visit all active workshops and re-evaluate as needed.</t>
  </si>
  <si>
    <t>No integration between Fleet Express/CarPro and Dynamics</t>
  </si>
  <si>
    <t>There is currently no system integration between Fleet Express/CarPro and Microsoft Dynamics. Data is transferred manually between the platforms, increasing the risk of errors, delays, and inefficiencies.</t>
  </si>
  <si>
    <t>•	Implement system integration between Fleet Express/CarPro and Microsoft Dynamics to enable seamless data flow, reduce manual intervention, and enhance accuracy and efficiency in operations.</t>
  </si>
  <si>
    <t>As of 6/7/2025, the (Fleet Express) program has been officially activated, and the Car Pro program has been closed. Currently integration process between Fleet express and dynamics has been activated.</t>
  </si>
  <si>
    <t>Continued Reliance on Legacy System Hinders Integrated Fleet Management</t>
  </si>
  <si>
    <t>The Maintenance Department continues to use the legacy CarPro system instead of the newly implemented Fleet Express system. Despite the organization's migration to Fleet Express, the department has not transitioned, resulting in fragmented processes and data isolations. 
Furthermore, it was noted that Labor costs for in-house workshops were not charged to vehicle repairs.</t>
  </si>
  <si>
    <t>•	Enforce full-fledge adoption and usage of Fleet Express within the Maintenance Department by providing necessary training, support, and system configuration tailored to their needs. 
•	Phase out the use of CarPro to ensure consistency, data integrity, and improved overall operational efficiency.</t>
  </si>
  <si>
    <t>CarPro has been officially discontinued now. Currently we are fully operational on Fleet Express and Labor cost will be applied accordingly. 
CarPro is used only to review and verify historical records of maintenance.</t>
  </si>
  <si>
    <t>No approved succession plan for Maintenance department</t>
  </si>
  <si>
    <t>The organization currently lacks a formal succession planning process for key leadership and critical operational roles in Maintenance department. There is no documented framework or strategy in place for key positions in the event of retirement, resignation, or unexpected vacancy.</t>
  </si>
  <si>
    <t>•	Management should identify key roles and potential successors based on competency levels for succession planning, get it approved as per authority matrix, and communicate it to the staff</t>
  </si>
  <si>
    <t>We will coordinate with HR to genuinely look into the matter and provide succession plan for at least key positions.</t>
  </si>
  <si>
    <t>Weakness surrounding Scrap materials handling and Sales</t>
  </si>
  <si>
    <t>During audit review, it was revealed that there is no formal mechanism to record, store and dispose of or sale of scrap materials. These materials include damaged vehicle parts (bumpers, tires, batteries, mirrors, etc.) removed during repairs or maintenance is not being adequately tracked &amp; controlled.</t>
  </si>
  <si>
    <t>•	Maintain a Scrap Register which includes part type, quantity, vehicle reference, removal date, and disposal method/value.
•	Assign responsibility to designate personnel for monitoring and authorizing scrap movements.</t>
  </si>
  <si>
    <t>We cannot sell scrap this is against the regulations of the state represented by the Ministry of Environment. The company is required to engage in contracts with suppliers approved by the Ministry of Environment for waste disposal. In our case we sell scrap from local suppliers after collecting three price quotes and approving the sale at the highest price. However, we will start maintaining the log file centrally for all scrap sales in Riyadh and going forward will maintain for Jeddah &amp; Khobar for BTC workshops.</t>
  </si>
  <si>
    <t>Absence of customer feedback mechanism</t>
  </si>
  <si>
    <t>The audit noted that there is no formal process to collect customer feedback specifically related to vehicle condition and performance following maintenance or repair activities. Customers are not prompted to report their experience regarding issues such as noise, comfort, mechanical performance, cleanliness, or persistent faults after receiving a serviced vehicle.
Currently, customer remarks on post-repair performance are captured only if volunteered verbally or via complaints, with no structured tracking or follow-up system in place.</t>
  </si>
  <si>
    <t>•	Implement a structured post-maintenance feedback process, such as automated SMS/email surveys sent 24–48 hours after vehicle handover.
•	Design a short feedback form focused on vehicle condition, cleanliness, comfort, and performance.
•	Integrate feedback tracking into the maintenance management system, allowing for linking feedback to specific work orders or job cards.
•	Assign responsibility to the maintenance or quality team for reviewing and acting on feedback received.
•	Analyze feedback regularly to identify recurring issues or trends related to specific workshops, technicians, or vehicle models.
•	Include customer feedback in vendor evaluation (for outsourced repairs) and internal performance assessments.</t>
  </si>
  <si>
    <t>We are currently developing this with the IT department so that the customer is notified immediately upon the completion of the car repair through SMS, and it will also require to provide his feedback about the services provided like repairs, customer service, amenities and his overall experience.</t>
  </si>
  <si>
    <t>Absence of HR Budget and Variance Analysis </t>
  </si>
  <si>
    <t xml:space="preserve">It was noted that the BTC does not prepare and monitor a formal HR budget and there is no practice of conducting variance analysis on HR-related expenditures. Key HR cost elements such as salaries, overtime, recruitment, training, employee benefits, and staff welfare are recorded, but not planned or monitored against a budget. </t>
  </si>
  <si>
    <t xml:space="preserve">Develop and monitor a formal HR budget covering all people-related cost categories (e.g., salaries, overtime, recruitment, training, benefits, welfare). 
Introduce a monthly/quarterly variance analysis comparing actual HR costs with budgeted amounts, supported by explanations for major variances. 
Integrate HR budgeting into the overall business planning process to ensure alignment with operational and financial objectives. 
Provide periodic HR costs and variance reports to management and the board for informed decision-making. 
Utilize HR and finance systems to automate tracking, reporting, and variance monitoring for accuracy and efficiency. </t>
  </si>
  <si>
    <t xml:space="preserve">HR &amp; Admin Manager </t>
  </si>
  <si>
    <t>Less than/upto 3 Months</t>
  </si>
  <si>
    <t xml:space="preserve">We will coordinate with Finance department for the preparation of budgets for 2026 and variance analysis will be performed accordingly. </t>
  </si>
  <si>
    <t>Absence of Approved Manpower Plan Aligned with Company Goals </t>
  </si>
  <si>
    <t xml:space="preserve">The Company does not have a formal manpower planning process linked to its strategic and operational goals. Staffing decisions are largely reactive (e.g., filling vacancies only when they arise) rather than proactive based on business growth, seasonal demand, or future fleet expansion. No documented workforce plan exists that aligns the number and skills of employees with company objectives. </t>
  </si>
  <si>
    <t xml:space="preserve">Develop a formal manpower plan aligned with company goals, fleet expansion, and seasonal business cycles. 
Conduct an annual workforce forecast to identify gaps in headcount, roles, and skill sets. 
Integrate manpower planning with HR budget and recruitment plans. 
Establish clear communication between HR, operations, and finance to ensure workforce needs are discussed during strategic planning. 
Monitor manpower KPIs (e.g., staff-to-fleet ratio, overtime trends, turnover rates) to refine future planning. </t>
  </si>
  <si>
    <t xml:space="preserve">Process for 2026 Manpower Budget has already been initiated, and communication has been made with all departments to develop comprehensive manpower plan aligned with departmental and organizational goals. 
One-on-one discussions with each Department Head are currently underway to review, validate, and finalize their respective manpower requirements. 
Prepare annual manpower forecast to identify staffing needs, replacements, and anticipated expansions. 
Integrate the manpower plan with the annual budget process to ensure proper financial alignment. </t>
  </si>
  <si>
    <t>Prolonged Delay in Filling Key Strategic Positions </t>
  </si>
  <si>
    <t xml:space="preserve">It was observed that certain key management &amp; operational positions within the Company like COO, Sales Manager, Business Development Manager, IT Manager, Marketing Manager etc. have remained vacant for an extended period. The responsibilities of these roles are either being temporarily handled by existing staff in addition to their core duties or left unattended. </t>
  </si>
  <si>
    <t xml:space="preserve">Expedite the recruitment process for filling key vacant position(s) in line with approved manpower plans. 
Establish a succession planning framework to ensure continuity in critical roles. 
Implement an interim responsibility assignment with clear accountability until the position is filled. 
Regularly review the status of critical vacancies in management meetings to avoid prolonged delays. 
Align HR recruitment priorities with business risk and operational needs. </t>
  </si>
  <si>
    <t xml:space="preserve">As per instructions from AAGH Group, hiring these positions is under consideration and managed by Group higher management. </t>
  </si>
  <si>
    <t>Non-Implementation of New HR Policy &amp; Procedures </t>
  </si>
  <si>
    <t>During the audit of the HR &amp; Admin function, it was observed that the newly approved Human Resources Policy &amp; Procedures, dated 30-June-2025, has not been implemented across department processes and sub-processes. Despite formal issuance of the policy, operational teams continue to follow the previous practices. 
As per the newly approved HR Policy, it was observed that significant areas &amp; processes are not implemented like: 
SWOT Analysis 
Manpower Planning 
Sponsorship Transfer Deadline 
Annual Air Ticket Allowance Process 
Medical Insurance Process</t>
  </si>
  <si>
    <t xml:space="preserve">Management should ensure to implement on immediate basis and ensure: 
Communicate the HR Policy to all concerned stakeholders formally. 
Conduct appropriate training sessions for respective teams. 
Ensure all system parameters are aligned with the policy &amp; procedures. 
Implement monitoring controls to track compliance. 
Enforce accountability for policy violations through defined escalation procedures. </t>
  </si>
  <si>
    <t xml:space="preserve">Department has already started implementation of the new policy in certain areas of operation. Department is working in remaining areas for implementation we will streamline all the processes of HR as per new policy accordingly. </t>
  </si>
  <si>
    <t>Lack of Segregation of Duties in Microsoft Dynamics – HR Module </t>
  </si>
  <si>
    <t>Access management challenges are multifaceted, requiring organizations to address a range of issues to ensure secure and efficient access control. During review of access rights for HR module, it was noted that: 
 Finance Manager has access to " Payroll (ME) Manager: and “Payroll Manager " role in the HR module. 
IT technical support personnels Emp # 99315 &amp; 99752 have view access to HR module by their roles as System Administrator. 
HR personnels Emp # 99699 &amp; 95565 have access to create or modify employee records and process payroll-related transactions</t>
  </si>
  <si>
    <t xml:space="preserve">Review and redesign user roles in Microsoft Dynamics HR module to ensure appropriate segregation of duties. 
Implement Role-Based Access Control (RBAC): Ensure access is granted based on job roles and responsibilities, with the principle of least privilege. 
Implement preventive controls (e.g., role-based access restrictions, system-enforced SoD rules) and detective controls (e.g., periodic monitoring, exception reports). 
Conduct periodic access reviews to ensure that users are still appropriate, especially after role changes or terminations. 
Enforce Segregation of Duties principles to prevent conflicts of interests 
Establish compensating controls where technical segregation is not feasible, such as independent supervisory review and approval. </t>
  </si>
  <si>
    <t xml:space="preserve">We will discuss this with IT team and modify the access rights as recommended. </t>
  </si>
  <si>
    <t>Discrepancies in Annual Air Ticket Entitlements in HR Records </t>
  </si>
  <si>
    <t xml:space="preserve">HR Travel desk process contractual air tickets for eligible employees based on their approved employee contract (eligibility: return air tickets for family status with spouse and up to two children residing in the Kingdom under their sponsorship, with validity linked to end-of-contract or 1 return ticket for single status employees). 
During the review of employee air ticket entitlement records, it was noted that the Dynamics system reflects higher eligible tickets than employees are entitled to as per company policy and employment contracts. For some employees, ticket balances were overstated due to: 
Failure to update records after ticket issuance/usage. 
Incorrect setting of eligibility rules in the system (e.g., additional/deletion of dependents) 
Manual errors in recording and carrying forward balances’ year-on-year. 
This results in employees appearing eligible for more tickets than they should receive, creating a risk of over-issuance. </t>
  </si>
  <si>
    <t xml:space="preserve">Immediately review and correct all employee ticket entitlement balances in the system. 
Configure Dynamics system to automatically deduct tickets upon issuance and restrict dependents strictly as per policy. 
Perform periodic (e.g., quarterly) reconciliation of entitlement balances against actual tickets issued and vendor invoices. 
Implement mandatory review and approval of all entitlement adjustments by HR management. 
Maintain proper supporting documents (e-tickets &amp; approval forms) for all travel entries. 
Periodic review should be performed to ensure entitlement accuracy and ensure policy compliance. </t>
  </si>
  <si>
    <t xml:space="preserve">Currently new system MenaME is under finalization and implementation. This issue will be resolved. </t>
  </si>
  <si>
    <t>Non-Compliance With Leave Policy </t>
  </si>
  <si>
    <t xml:space="preserve">As per leave policy, “Annual leaves cannot be postponed or carried over to the following year except in specific cases, where HR being the sole authority to make such decisions:  
Leave may be postponed upon the employee’s request, provided the employer gives written consent. 
Leave may be postponed if work circumstances require it, for a period not exceeding 90 days without the need for the employee’s consent.  
If the postponement exceeds this period, written approval from the employee must be obtained. 
By reviewing the leave balance as of August 2025, we noted that: 
3 employees with balances exceeding 120 days and less than 180 days 
4 employees with leave balances exceed 180 days. </t>
  </si>
  <si>
    <t xml:space="preserve">Establish clear procedures for managing excessive leave balances and implement necessary processes to prevent further accumulation. 
Regular tracking and reporting of leave balances, with automated alerts for employees and their managers when balances exceed predefined thresholds. </t>
  </si>
  <si>
    <t xml:space="preserve">In certain scenarios, due to work need &amp; no replacement available, the number of leaves is high based on dept. manager’s decision. However, HR is already coordinating with department managers to plan vacations for these employees.  
In addition to that, HR dept has already started preparation of annual vacation plan for 2026 in coordination with the department heads. </t>
  </si>
  <si>
    <t>Discrepancies identified in employee files </t>
  </si>
  <si>
    <t xml:space="preserve">During review of employee’s files, the following discrepancies (missing documents) were noted: </t>
  </si>
  <si>
    <t xml:space="preserve">Develop comprehensive checklist for employee file documentation. 
All documents in files should be chronologically ordered. 
Employee files should be properly reviewed for completeness on a regular basis. </t>
  </si>
  <si>
    <t xml:space="preserve">As per new system MenaME, all required/recommended documents were configured in system with mandatory/optional criteria. We will also coordinate with IT for system reports related to required/available documents in the employee file </t>
  </si>
  <si>
    <t>Discrepancies Noted in Employees' Insurance Coverage </t>
  </si>
  <si>
    <t xml:space="preserve">During the review of insurance policy 2025, it was noted that employees who are in inactive status as of September 2025 such as those who have resigned, completed their final exit formalities, change employer, or whose dependents are on final exit continue to have active medical insurance policies under the company’s health coverage scheme. 
Hence, there is unnecessary financial burden of insurance premiums for these members amounting to SAR 56,052 on BTC &amp; possibility of potential misuse of medical benefits. 
 </t>
  </si>
  <si>
    <t xml:space="preserve">Establish a formal process and timeline for notifying the insurance provider immediately when employees resign, complete final exit, or transfer sponsorship, including their dependents. 
Implement system-based automated controls to ensure deactivation of insurance coverage upon employee separation. 
Conduct monthly/quarterly reconciliation between HR records and active insurance policy enrollments. 
Strengthen oversight and monitoring mechanisms to ensure that only eligible employees and dependents remain covered. </t>
  </si>
  <si>
    <t>All highlighted cases have been deleted from Insurance policy and going forward we will start monitoring the insurance deletion cases on periodic basis. </t>
  </si>
  <si>
    <t>Lack of an Updated Master Database for Employee and Dependent Insurance Enrollment </t>
  </si>
  <si>
    <t xml:space="preserve">It was noted that the BTC does not maintain a centralized and updated master database to record and track all additions and deletions of employees and their dependents in relation to medical insurance. Changes are communicated on an ad-hoc basis to the insurance provider without maintaining a documented trail in the Company’s internal records. </t>
  </si>
  <si>
    <t xml:space="preserve">Establish and maintain a centralized master database of all insured employees and their dependents. 
Record all additions and deletions promptly with proper supporting documents (e.g., joining form, exit clearance, dependent documents). 
Perform monthly reconciliations between HR records, payroll, and insurance provider records. 
Assign ownership and accountability to HR/Local Insurance Administration for updating and safeguarding the master file. 
Implement maker-checker controls to ensure all updates are reviewed and approved before submission to the insurer. 
Real-time employee data from GOSI &amp; Muqeem should be considered while new policy enrollments. 
Digitize the process where possible (integrating Dynamics and insurance portal) to reduce manual errors. </t>
  </si>
  <si>
    <t xml:space="preserve">Implementation of new system MenaME, all medical insurance related data is recorded and related reports have been designed for monitoring. </t>
  </si>
  <si>
    <t>Non-Compliance with Procurement Policy and Absence of Multiple Quotations </t>
  </si>
  <si>
    <t xml:space="preserve">During our review of petty cash expenses, it was noted that the following works were carried out by Al Qahtani Decoration &amp; General Contracting at the Riyadh workshop (Exit 17) dated 24-Nov-2024 amounting to SAR 10,530, without obtaining multiple quotations or conducting a competitive price comparison. 
It was also noted that all these activities were performed on same dates with same vendor and on same location but with splitting invoices. </t>
  </si>
  <si>
    <t xml:space="preserve">Ensure that multiple quotations are obtained and documented for all future transactions exceeding the threshold limit. 
In cases of urgency or sole-source, appropriate justification and approval should be documented and retained. 
Facility team should be reminded of compliance requirements and periodic monitoring should be performed. </t>
  </si>
  <si>
    <t xml:space="preserve">This case is related to emergency for new workshop opening on target date and exceptionally approved by CEO. Going forward we will seek multiple quotes as per the approved policy. </t>
  </si>
  <si>
    <t>Absence of Air Tickets Vendors Comparative Offers &amp; System Integration </t>
  </si>
  <si>
    <t xml:space="preserve">During the review of the air tickets booking and travel arrangements process, it was noted that the HR/Travel Department is not obtaining comparative offers from multiple approved vendors prior to confirming ticket issuance. Instead, reliance is primarily placed on a single vendor (or platform, e.g., Almosafer), without documented evidence of market testing or rate comparison. This limits transparency in vendor selection and may result in non-competitive pricing. 
Additionally, it was observed that the current ERP/HR system is not integrated with travel booking platforms or vendor portals. All booking requests, quotations, and approvals are processed manually through emails and spreadsheets, increasing the risk of errors, delays, duplicate bookings, and lack of proper audit trail. </t>
  </si>
  <si>
    <t xml:space="preserve">Based on Clause # 4.3.2.5.1 Annual Vacation Tickets Allowance of approved BTC HR Policy dated 30.06.2025, all allowance shall be disbursed in cash only. 
Any exceptions to the clause require approval from DSS (Director Shared Services) </t>
  </si>
  <si>
    <t xml:space="preserve">Department is working on implementation, recommended process will be streamline as per new policy accordingly. </t>
  </si>
  <si>
    <t>Lack of Defined Management and Recording Process for Telecommunication Assets </t>
  </si>
  <si>
    <t>t was observed that the BTC Facility Department does not have a defined mechanism or centralized system to record, monitor, and control information related to office telephone lines, data lines, and portable routers. 
Currently, there are approximately 66 active connectivity lines incurring monthly payments ranging between SAR 32,000 and SAR 35,000. However, key details such as ownership of SIMs/routers, activation and deactivation records, monthly billing information, assigned users, data package details, and device issuance approvals are not maintained or readily available with the Admin/Facility Department.</t>
  </si>
  <si>
    <t xml:space="preserve">Establish a defined mechanism (Telecom Asset &amp; Line Register/Software) for recording and monitoring all telephones, data lines, and portable routers. 
The register should include line/device numbers, assigned users, billing details, package/plan details, contract terms, issuance/return records, and status (active/inactive). 
Assign clear responsibility to Facility/IT/Finance for maintaining and periodically updating records. 
Conduct periodic reconciliation of telecom expenses with actual usage and service provider bills. 
Implement controls for authorization of new connections, periodic review of usage, and deactivation of unused lines. </t>
  </si>
  <si>
    <t xml:space="preserve">Facility department will create telecom register &amp; assign owners and reconcile on quarterly basis. </t>
  </si>
  <si>
    <t>Ineffective Management of BTC Leased and Rented Properties </t>
  </si>
  <si>
    <t>It was noted that the BTC Facility department does not have a defined mechanism or centralized system for recording details of rented/leased buildings and properties. Key information such as department owners, status of usage (in use/vacant), security deposits, escalation clauses, and termination conditions are not properly documented, tracked, or updated. Records are maintained inconsistently in excel sheets and in some cases are incomplete or not available.</t>
  </si>
  <si>
    <t xml:space="preserve">Develop and implement a defined mechanism for systematically recording and monitoring all rented/leased buildings and properties. 
Ensure that the register includes agreement details, tenure, renewal/expiry dates, rental amounts, escalation clauses, and deposit information. 
Assign responsibility to designated department/personnel (e.g., Admin/Facility) for maintaining and updating lease records. 
Establish periodic review and reconciliation between Facility &amp; Finance department. 
Automate alerts/reminders for renewals, rent escalation, and contract expiry. </t>
  </si>
  <si>
    <t xml:space="preserve">Facility department will create property register, review and monitor on quarterly basis. </t>
  </si>
  <si>
    <t>Non-Implementation of newly approved Business Development Policy &amp; Procedures</t>
  </si>
  <si>
    <t>During the audit of the Sales function, it was observed that the newly approved Business Development Policy &amp; Procedures, dated 09-July-2025, has not been implemented across department processes and sub-processes. Despite formal issuance of the policy, sales team continue to follow the previous practices.
Significant areas &amp; processes require immediate implementation are as under: 
•	Partnership &amp; Relationship Management
•	Sales Strategy &amp; Revenue Generation
•	Sustainability and ESG Consideration
•	Customer Service Standards
•	Risk Management and Compliance
•	Contract Management
•	SWOT Analysis</t>
  </si>
  <si>
    <t>•	Management should ensure timely and effective implementation of the newly approved Business Development Policy &amp; Procedures.
•	Rolling out the policy across the Sales function through formal communication, training, and awareness sessions.
•	Developing an implementation roadmap with clear timelines, responsibilities, and milestones for all key areas.
•	Updating sales SOPs, workflows, and templates to align with the new policy requirements.
•	Assigning ownership and accountability for each policy area and incorporating compliance into performance monitoring.
•	Establishing periodic management review and internal monitoring to ensure sustained adherence to the approved policy.</t>
  </si>
  <si>
    <t>Chief Commercial Officer</t>
  </si>
  <si>
    <t>Management acknowledges the observation and agrees that, although the Business Development Policy &amp; Procedures were formally approved and communicated, full operational integration across Sales processes has not yet been completed to the required standard. Accordingly, a structured implementation plan with clear timelines, defined responsibilities, and measurable milestones will be developed and implemented to ensure full alignment of Sales procedures with the approved policy and its implementation accordingly. Relevant SOPs, workflows, and templates will be updated, and compliance will be incorporated into ongoing performance monitoring</t>
  </si>
  <si>
    <t>Significant Customer Concentration Risk in Lease Portfolio</t>
  </si>
  <si>
    <t>It was identified that a significant level of customer concentration within the Company’s highly leveraged lease portfolio, where a substantial proportion of lease revenue, outstanding receivables, and deployed fleet is dependent on the limited number of corporate customers. It was observed that top 5 customers comprised 65% of total fleet exposure (i.e. 5865 of 9079 vehicles) with monthly revenue exposure of 72% (i.e. 17.03 million out of 23.63 million).
In a highly leveraged environment, elevated customer concentration represents a capital-threatening risk. Any adverse event involving a major lease customer—such as early termination, payment default, contract renegotiation, or non-renewal—could result in immediate cash flow disruption, debt service stress, covenant breaches, fleet underutilization, and potential asset impairment.</t>
  </si>
  <si>
    <t>•	Management should urgently establish and obtain Board approval for customer concentration limits specific to lease sales (e.g., maximum exposure per customer based on revenue, fleet count, and contract value). 
•	A structured lease portfolio diversification strategy should be prepared &amp; implemented, including sector-wise caps, staggered contract tenures, and targeted growth in SMEs and mid-tier corporates.
•	Thresholds should be reviewed annually and adjusted based on portfolio size, funding structure, and risk appetite.
•	Quarterly concentration dashboards, stress testing, and early-warning indicators should be reported to Senior Management and the Board.</t>
  </si>
  <si>
    <t>Management acknowledges the observation and agrees that the current level of customer concentration, particularly within government contracts, represents a significant portfolio risk.
Accordingly, a structured diversification plan has been initiated to gradually reduce government contract exposure within the fleet over the next 120 days, through targeted expansion into SMEs and mid-tier corporate segments. In addition, internal concentration limits will be defined and monitored to ensure balanced portfolio growth going forward</t>
  </si>
  <si>
    <t>Inadequate controls over Lease Pricing Calculations</t>
  </si>
  <si>
    <t>During review of pricing model and calculations we noted the following:
Rentals are calculated including a vehicle base price and flowing additional Pricing factors like:
•	Depreciation
•	Insurance
•	Maintenance
•	Financing cost
•	G&amp;A
•	Residual value assumptions
•	Target profit
1.	It was noted that above pricing factors are not approved and there is no defined process to calculate, standardize/benchmark and document lease pricing factors that are the basis of rental amount calculations.
2.	It was observed that the profit margins &amp; above pricing factors can be changed to determine the targeted rental price of the vehicles without proper written justification to change them. Pricing factors can be manipulated to accommodate the client discount.
3.	It was observed that the lease pricing calculations were performed on manual spreadsheets and not automated yet. Any changes, modifications and subsequent approvals from management were performed on these manual spreadsheets.</t>
  </si>
  <si>
    <t>•	Pricing factors should be benchmarked, approved, and defined in system.  
•	Implement a system-driven lease pricing model within Fleet Express that includes all cost and risk components.
•	Define and approve minimum pricing floors, target margins, and residual value assumptions by vehicle category and customer risk rating.
•	Required changes in any of the factors must be documented and approved with proper justification.</t>
  </si>
  <si>
    <t>Lease pricing is currently determined based on structured commercial considerations, including the nature of the client’s business, order volume, and tender requirements, while ensuring targeted profit margins are maintained to support sustainable profitability.
However, management acknowledges the need to further strengthen formal controls, documentation, and system governance around pricing factors and calculation methodologies to enhance transparency, consistency, and risk mitigation.
Accordingly, the following corrective actions will be implemented:
•	Formal standardization and approval of key pricing factors, supported by clear benchmarking methodology.
•	Definition of minimum pricing floors, approved target margins, and residual value assumptions by vehicle category and customer risk profile.
•	Mandatory documentation and approval of any pricing exceptions or adjustments with proper business justification.
•	Gradual automation of the lease pricing model within the system to reduce reliance on manual spreadsheets and improve control integrity.</t>
  </si>
  <si>
    <t>Absence of approved 2025 &amp; 2026 Sales Plan, budgets and strategy</t>
  </si>
  <si>
    <t>During the audit of the Sales function, it was observed that the BTC does not have a formally approved Sales Plan and Sales Budget covering revenue targets, fleet utilization, pricing strategy, and market segment–wise projections (Retail, Corporate, Leasing, Chauffeur, etc.).
Furthermore, periodic variance analysis comparing actual sales performance against planned targets is not available with Sales function. Sales performance is currently monitored on an ad-hoc basis, primarily through actual revenue reports, without structured comparison to approved budgets.</t>
  </si>
  <si>
    <t>•	Develop a comprehensive annual Sales Plan and Sales Budget, approved by Management covering Revenue targets by business segment, branch, and customer type, Fleet utilization and pricing assumptions &amp; Market share and growth targets.
•	Implement a monthly and quarterly variance analysis by comparing actual performance against approved budgets, analyze reasons for favorable and unfavorable variances &amp; initiate corrective actions in a timely manner
•	Assign clear ownership to Sales Management, with Finance providing independent validation and monitoring. 
•	Present summarized performance and variance report regularly to Management and the Board.</t>
  </si>
  <si>
    <t>Despite existing financing conditions and absence of fully structured and adequately trained sales team challenges, management maintain ambitious growth targets and are actively working on enhancing and restructuring our financing strategies to accommodate clients with order values below the current minimum threshold, without compromising the company’s financial objectives and long-term profitability.
In this context, we are in the process of developing a comprehensive Sales Plan and budgets that include clear targets across all market segments, supported by a recruitment plan to strengthen the sales team in key regions. The plan is expected to be finalized and formally approved within a period not exceeding 90 days.
Further, CCO will personally oversee the implementation and execution of this plan within the defined timeline.</t>
  </si>
  <si>
    <t>Inadequate Sales Staffing for Car Leasing Department</t>
  </si>
  <si>
    <t>During the audit of the Sales function, it was observed that the current sales staffing level is inadequate to effectively manage leasing opportunities, corporate accounts, and ongoing customer relationship requirements. 
•	No Sales Manager since September 2024 
•	No Sales Staff &amp; team available in key locations like Riyadh &amp; Jeddah
Only 2 active employees (Sales Supervisor &amp; Executive) in whole kingdom are currently stationed at Al Khobar location. 
The existing leasing sales team is responsible for:
•	New corporate and government account acquisition
•	Contract renewals and extensions
•	Client relationship management and service coordination
•	Pricing negotiations and proposal submissions
However, staffing levels are not aligned with the complexity, volume, and lifecycle management of leasing contracts, resulting in operational strain and limited sales coverage.</t>
  </si>
  <si>
    <t>•	Conduct a leasing sales capacity and workload assessment considering number and size of active lease contracts, renewal pipeline and upcoming expiries &amp; new business targets
•	Strengthening the leasing sales team by hiring additional qualified leasing sales professionals or reallocating experienced resources from other locations
•	Introduce clear KPIs for leasing sales staff, including new lease contracts secured, renewal success rate, revenue per account &amp; customer retention levels.
•	Enhance coordination between Sales, Credit, Operations, and Fleet to reduce administrative burden on sales staff.</t>
  </si>
  <si>
    <t>A comprehensive assessment of the current Sales Team, which consists of three members, is currently underway to evaluate their capacity to meet operational demands and support the company’s growth and development objectives.
In parallel, a structured plan has been developed to gradually strengthen and complete the sales organization, with the objective of building a fully capable team that provides adequate coverage across key regions and enhances overall sales effectiveness.
From an executive management perspective, we believe that attracting qualified sales talent is a critical driver for improving execution quality, acquiring higher-value clients, and achieving sustainable growth. The evaluation and recruitment plan will be developed and implemented within a period not exceeding 120 days.</t>
  </si>
  <si>
    <t>Absence of Market Research and Competitive Analysis</t>
  </si>
  <si>
    <t>It was observed that Sales department does not perform formal market research or competitive analysis prior to preparing lease proposals and pricing recommendations. During the audit, it was noted that pricing and commercial terms are primarily based on internal assumptions and past deals, without documented analysis of:
•	Prevailing market lease rates
•	Competitors’ pricing and service offerings
•	Market demand trends and customer segments
•	New entrants and substitute mobility solutions
No structured market intelligence reports, competitor benchmarking, or periodic analysis were available for management review.</t>
  </si>
  <si>
    <t>Management should establish a formal market research and competitive analysis process, including:
•	Periodic collection and analysis of market lease rates and competitor offerings
•	Preparation of quarterly market intelligence reports
•	Integration of market insights into pricing and proposal approvals
•	Assignment of clear ownership within the Pre-Sales or Strategy function</t>
  </si>
  <si>
    <t>The implementation of the recommended actions will commence following the completion of the Sales Team structure to ensure proper ownership and execution capacity.
Starting from Q3, the company will initiate structured collection of market lease rates and competitors’ pricing and service offerings. Quarterly market intelligence reports will be prepared and presented to management. The findings will be formally integrated into the pricing and proposal approval process to ensure competitive and well-informed decision-making</t>
  </si>
  <si>
    <t>Absence of Structured Lead Generation and Customer Acquisition Process</t>
  </si>
  <si>
    <t>During review it was noted that Sales department does not have a structured and formalized lead generation and customer acquisition process for Lease Sales. During the audit, it was observed that:
•	No defined strategy exists for generating new leads (digital marketing, corporate outreach, partnerships, referrals, etc.)
•	Lead sourcing is largely reactive and relationship-driven and renewing existing customers.
•	Leads are not systematically captured, tracked, or analyzed through a CRM or centralized lead register
•	No documented targets, conversion metrics, or performance monitoring mechanisms were in place
As a result, the Pre-Sales pipeline lacks visibility, consistency, and predictability.</t>
  </si>
  <si>
    <t>Management should establish a formal lead generation and customer acquisition framework, including:
•	Defined lead generation channels (digital, corporate outreach, partnerships, referrals, etc.)
•	Mandatory lead logging and tracking through system
•	Clear ownership, targets, and KPIs for lead generation and conversion
•	Periodic management review of lead pipeline and acquisition performance</t>
  </si>
  <si>
    <t>Management acknowledges the importance of having a clear, formalized, and measurable strategy in this area. We are currently working on enhancing and structuring these processes to better align with market requirements and the company’s growth objectives.
Accordingly, we are developing a comprehensive lead generation strategy that will include:
•	Digital marketing initiatives
•	Strategic partnerships
•	Referral programs
•	Structured corporate outreach
1.	All leads will be formally captured, tracked, and monitored through a CRM system to enhance visibility, accountability, and performance analysis.
2.	Clear KPIs are being defined, and specific responsibilities will be assigned to each team member. 
3.	Regular pipeline review meetings will be implemented to assess conversion performance, identify bottlenecks, and address missed opportunities in a timely manner.
4.	The structured framework will be implemented within 120 days, with phased rollout and periodic management review to ensure measurable improvement in sales pipeline visibility and predictability.</t>
  </si>
  <si>
    <t>Updated Approved Used Cars Policy &amp; Procedures have not implemented</t>
  </si>
  <si>
    <t>During the audit of the Used Vehicles function, it was observed that the newly approved Used Vehicle Sales Policy, dated 09-July-2025, has not been implemented across department processes and sub-processes. Despite formal issuance of the policy, operational teams continue to follow the previous practices.
As per the approved Used Cars Policy, it was observed that significant areas &amp; processes are not implemented like:
•	Vehicle Evaluation Classification Process.
•	Bid formation Process.
•	Potential Sales Channels
•	Minimum Selling Pricing Determination Process.
•	Re-formation of Used vehicle Evaluation Committee
•	Bidding Process
•	BTC Online Sales Platform 
•	Vehicle Ownership Transfer Process</t>
  </si>
  <si>
    <t>Management should ensure to implement on immediate basis and ensure:
•	Communicate the Used Cars Policy to all concerned stakeholders formally.
•	Conduct appropriate training sessions for respective teams.
•	Ensure all system parameters are aligned with the policy &amp; procedures.
•	Implement monitoring controls to track compliance.
•	Enforce accountability for policy violations through defined escalation procedures.</t>
  </si>
  <si>
    <t>•	Work is currently underway with the relevant departments to provide technicians for conducting technical evaluations of the vehicles.
•	The bid formation process is based on the available vehicles, and a specific percentage of vehicles for each bid list cannot be guaranteed, in case of any difference between the technical condition percentages shown in the auction list and the percentages approved by the policy, the list will be approved by the Used Sales Committee Chairman (CEO)
•	All possible sales channels are currently being utilized, including electronic platforms, auctions, and individual sales.
•	The matter will be discussed with the CEO to form a vehicles price evaluation committee.
•	It will be discussed with the Sales Committee to determine the appropriate methods for submitting bids.
•	There is no proprietary sales platform for "BEST Company"; intermediary platforms are being used for sales. If a dedicated platform is developed for BEST Company, it would require an operational team (technicians, photographers, marketers) as well as a dedicated “IT” team for continuous supervision. Therefore, intermediary platforms are being used for the current period, the platform is not currently operational, and the matter of developing a dedicated platform for BTC to sell the vehicles through it will be discussed with the CEO
•	The process of transferring vehicle ownership is being followed up periodically with customers to ensure the transfer is completed within the specified timeframe.
•	The recommendations will be taken into consideration to avoid potential impacts</t>
  </si>
  <si>
    <t>Significant weakness of Internal Controls in Bidding Processes</t>
  </si>
  <si>
    <t>Our review of the bidding processes &amp; documentation (for the period from July 2023 to June 2025) revealed a sharp and tangible deterioration in fundamental internal controls, exposing the process to significant risks. We noted the following:
•	Discontinuation of Sealed Bid Boxes: We noted that the company abandoned its previous good practice of using sealed bid boxes (Tender Boxes). Instead, bids are now being collected manually and directly by the sales department, exposing them to the risks of loss, manipulation, or premature disclosure.
•	Bids were received openly: and not in sealed envelopes, meaning there is no documented evidence of bid confidentiality.
•	Lack of a Standardized and Documented Invitation Process: Bidders are invited through decentralized channels (email, WhatsApp, or hand-delivery) without maintaining a unified, official log of these invitations. This practice makes it impossible to verify the fair distribution of invitations and creates opportunities for favoritism.
•	Limited Publicity Scope: Auctions are not sufficiently advertised on public sales channels (such as online car-selling platforms or social media), which limits the pool of potential bidders and reduces the opportunity to secure the best possible price.
•	Inadequate representation of technical department: like Operations/Fleet Control in Sale Committee
•	Vehicle Assessment process was performed entirely by the Sales Department, with a lack of signatures on inspection forms, due to the absence of a policy mandating the segregation of duties.</t>
  </si>
  <si>
    <t>•	Management must immediately reinstate the use of sealed bid boxes as a fundamental, interim control measure until the automated solution approved in the new policy is implemented.
•	Bid must be received in sealed envelopes on letterhead signed and stamped.
•	The current process of issuing delivery notes for Kuwait operations from Riyadh must be stopped immediately.
•	Bids must be announced publicly by using all the possible channels to maximize number of bidders, and announcement documentation should be part of bidding documentation.
•	Management must establish a binding and clear timeline for the immediate and full implementation of the auction policy approved in July 2025, including the activation of the automated bidding system, reformation of used car sales committee and vehicle assessment process as described in new policy.</t>
  </si>
  <si>
    <t>•	The previous method of receiving bids from customers has not been stopped, and customers will be reminded of this again. However, this method has met with disapproval from customers, as similar companies use multiple channels to receive prices (email, WhatsApp, etc.) because some clients are in different regions around the Kingdom and unable to deliver envelopes to the head office. Department will implement receiving of bids by close envelope more strictly. And a meeting will be held with the CEO to determine the optimal method for receiving bids.
•	Bids are currently distributed to customers through self-effort, as there is no marketing department to handle these tasks. However, work is underway to channel bid invitations through the new system instead of the manual paper-based system.
•	The Operations Manager has been included in the Used Car Sales Committee.
•	Work is in progress with the departments concerned to provide technicians for conducting the technical evaluation of vehicles.
•	Regarding vehicles sales in Kuwait, vehicles are actually delivered in Kuwait by project staff, as there is no dedicated used car warehouse in Kuwait. The vehicles are entered into the used car warehouse system in Riyadh; therefore, they are released from the Riyadh warehouse to ensure the monitoring and control process of used cars, which is the sole responsibility of the used sales department.
•	We in the used sales department work with available resources, similar to practices in comparable companies, while prioritizing the company's reputation and achieving the highest return. We have not received any complaints from the company's customers.</t>
  </si>
  <si>
    <t>Delay in Cancellation of Insurance for Sold Vehicles</t>
  </si>
  <si>
    <t>During our review, we noted significant delays in cancelling insurance policies for vehicles after their sale. In multiple cases, insurance coverage remained active for more than one month beyond the actual sale date due to the buyer’s failure to complete the ownership transfer within the prescribed timeframe.
This practice is not compliant with Clause (7) of the Sales Contract, which states: “If the buyer fails to transfer vehicle ownership within the specified period (one month as per policy), the company is entitled to charge the buyer for all insurance-related costs.”
Due to the failure in enforcing this control, the company incurred additional insurance expenses totaling SAR 128,730, related to 641 vehicles sold for the period from March 2023 to June 2025. These costs were not recovered from the respective customers, resulting in a direct financial loss for the company</t>
  </si>
  <si>
    <t>•	Coordinate with Finance department to charge and invoice the respective customers for the insurance cost incurred on proportionate basis where ownership is transferred in more than 30 days. 
•	Used Sales Department must implement a formal, tracked follow-up process. This should include automated reminders to customers and clear accountability assigned to sales staff for ensuring ownership transfer is completed.
•	Enforce clause (7) of the contract systematically. An automated process should be established to charge insurance costs to the customer's account immediately after the one-month grace period expires.
•	Link the responsibility for completing post-sale requirements, including ownership transfer follow-up, to the sales team's Key Performance Indicators (KPIs).</t>
  </si>
  <si>
    <t>•	We would like to clarify that the grace period approved as per the policy for completing the ownership transfer process is 60 days from the date of delivery, and any extension beyond the grace period granted to customers for ownership transfer will be approved by the CEO.
•	We also confirm that the Used Sales Department follows up with customers during this period and notify them to complete the vehicle ownership transfer. An amount of SAR 85,000 has already been collected from customers who failed to transfer ownership within the permitted timeframe to cover the cost of vehicle insurance, which reduces the financial impact mentioned in your report. Accordingly, the loss indicated in the insurance clause needs to be recalculated based on the correct ownership transfer duration and the amounts collected.
•	We, as the Used Sales Department management, are working diligently and following up on the vehicle ownership transfer process within the grace period stipulated by the policy without compromising the company's rights. We will implement and monitor it in future more strictly</t>
  </si>
  <si>
    <t>Lack of Historical Vehicle Values or Benchmark Pricing.</t>
  </si>
  <si>
    <t>During the review of used vehicle sales for the period from July 2023 to June 2025, a weakness was identified in the process for determining the Minimum Selling Price (MSP). An analysis of sampled sales transactions totaling SAR 67,115,971.15 revealed that 32% of the sample value (SAR 21,448,960) was processed without referencing minimum selling prices, historical vehicle prices or established benchmark prices.
These transactions are made through multiple sales channels - including Bid, Direct Wholesale, and Individual sales -indicating that the issue is not limited to a specific channel.</t>
  </si>
  <si>
    <t>•	Management must ensure the strict and immediate application of the "Minimum Selling Price Determination" as per Section (K3) of new policy, approved in July 2025, to all used vehicle sales transactions.
•	Sales team and the Used Vehicle Sale Committee must be required to document the basis on which each vehicle's price was determined, retaining supporting evidence (e.g., independent evaluation report, committee meeting minutes) within the transaction file.
•	Management should conduct periodic reviews of sales transaction samples to ensure compliance with the approved policy and to promptly correct any deviations.</t>
  </si>
  <si>
    <t>•	Historical pricing is recorded in transactions when a historical price is available for the same vehicle category within the preceding 3-months period, as vehicle prices are subject to fluctuations during this timeframe. 
•	The minimum selling price will be determined and selected by the used vehicle evaluation committee as per (section 3) provided in the used vehicle sales policy, all relevant supporting documents will be attached in the transaction with necessary details and justification accordingly.</t>
  </si>
  <si>
    <t>Weakness in Used Car Sales Documentation</t>
  </si>
  <si>
    <t>•	It was noted that department generally relies on manual, paper-based delivery notes for all its transactions. This outdated practice increases the risk of human error, loss of documentation, and creates significant challenges for effective archiving and control.
•	It was observed that delivery notes for vehicles sold in Kuwait are issued centrally from Riyadh. As a direct result of this ineffective process, we noted that for all reviewed transactions in Kuwait, there is no signed documentation or any form of proof that customers have received their vehicles. 
•	Absence of Signed Contracts for certain used car sales transactions, sales are executed without signed, legally binding contracts, leaving the business relationship officially undocumented.
•	"Bid Comparison Sheets" were not prepared, resulting in a lack of objective documentation to justify the selection of the winning bid.
•	It was noted that copies of payment receipts generated by the financial system were missing, making it difficult to accurately and reliably track and reconcile received payments.
•	It was noted that no visitor’s register is maintained at the Riyadh vehicle yard. As a result, details of individuals/bidders entering and exiting the facility are not recorded.
•	No formal customer feedback mechanism or centralized complaint log to capture, monitor, and analyze customer concerns.</t>
  </si>
  <si>
    <t>•	All manual delivery notes must be digitalized. This solution should capture electronic signatures and automatically log in time and date.
•	The current process of issuing delivery notes for Kuwait operations from Riyadh must be stopped immediately.
•	Process must be introduced for Kuwait team to issue, complete, and archive delivery documentation locally at the time of handover.
•	Used car sales contracts must be signed by both parties to avoid legal complications.
•	Visitor register must be maintained at warehouse.
•	Payment receipts must be attached with the relevant bidding documents.
•	Develop customer feedback mechanism and apply accordingly.
•	Management must establish a binding and clear timeline for the immediate and full implementation of the auction policy approved in July 2025, including the activation of the automated bidding system</t>
  </si>
  <si>
    <t>•	Electronic delivery (e-delivery) will be adopted instead of paper-based documentation for vehicles starting from 2026. Coordination is underway with the IT department to implement this mechanism.
•	Due to the absence of dedicated Used Sales Department employees in Kuwait, vehicles are delivered there by project operational staff. The delivery note is issued from Riyadh purely as an administrative and organizational procedure, given that the head office is in Riyadh. Coordination is done with the project management to deliver the vehicles to customers in Kuwait, and this procedure entails no financial impact, operational risk, or control risks. Therefore, this action aims solely at organization and coordination between the company's branches.
•	Emphasis is placed on obtaining customer signatures on the "Sale Approval Authorization," which includes all vehicle details, selling prices, and fundamental terms and conditions of the sale. It has been standard practice (customary) to issue the sales contract attested by the Chamber of Commerce. Accordingly, starting from 2026, the sales contract will be issued in one copy for the company and an attested copy from the Chamber of Commerce for the customer. This procedure entails no financial impact, operational risk, or risks, and legal department approval has been obtained for the Chamber of Commerce attested sales contract template.
•	A comparison sheet of prices submitted by customers will be prepared for all bids and shared with the Sales Committee to make the appropriate decision.
•	All customer payment vouchers for vehicle amounts are shared with the Finance Department, and the Finance Department provides us with confirmation that the amounts have entered the company's account. All these documents will be attached to the sales transactions. 
•	There are no customer service employees at the warehouse to register visitors and collect customer feedback on the service provided. Coordination is done with the head office for receiving customers at the warehouse. Therefore, we will request the hiring of customer service employees and assigning these tasks to them.
•	The approved used vehicle sales policy specifies the available sales channels. The selection of the appropriate and effective sales method and mechanism is discussed with the Sales Committee to maximize the company's revenues.</t>
  </si>
  <si>
    <t>Discrepancies in Customer Files and Supporting Documentation</t>
  </si>
  <si>
    <t>During our review of selected customer credit files (62 samples) within the Lease Sales portfolio, significant discrepancies and inconsistencies were noted in the documentation maintained by the Credit and Sales department. Several customer files were either incomplete, outdated, or contained contradictory information, impairing the reliability and integrity of credit assessments and ongoing portfolio monitoring.</t>
  </si>
  <si>
    <t>•	Implement a mandatory Customer Credit File Checklist covering legal, financial, and security documents as per new policy.
•	Establish a centralized digital document management system with version control and expiry alerts.
•	Perform quarterly credit file audits for all active lease customers, especially high-exposure accounts.
•	Prohibit lease activation, vehicle delivery, or limit enhancement unless all required documents are valid and verified.
•	Assign Credit Administration ownership for ongoing file completeness and compliance</t>
  </si>
  <si>
    <t>C&amp;C Manager</t>
  </si>
  <si>
    <t>We acknowledge the observation regarding the certain customer credit file documents. It is important to note that all essential documents that protect the company’s legal rights, including the Commercial Registration, the Lease Contracts, and Schedule-A are fully completed and properly maintained.
As for the remaining documents identified as incomplete, these documents were explicitly justified within each transaction, and the exceptions were approved based on the formal authorization of the Credit Committee.
Furthermore, the Credit Department already maintains a Customer Credit File Checklist in soft copies used to monitor required documentation, and this checklist is periodically updated to align with company policy and going forward make a hard copy version of check list and attach with every file.</t>
  </si>
  <si>
    <t>Absence of System-Based Workflow for Credit Approvals in Fleet Express</t>
  </si>
  <si>
    <t>Fleet Express (new fleet management system) does not have a built-in workflow for Credit related approvals. All credit applications (new customers, credit limit approvals, extensions, and overrides) are processed manually through emails or paper forms. 
There is no automated routing, maker–checker control, approval hierarchy, time stamping, or system-based audit trail for credit decisions.</t>
  </si>
  <si>
    <t>1.	Management should urgently implement a system-based credit approval workflow within Fleet Express that includes:
•	Configurable approval matrix based on credit limits, customer risk grade, and exposure
•	Maker–checker and multi-level approvals
•	Automated routing to authorized approvers
•	System-generated time-stamped audit trail
•	Blocking of contract activation unless credit approval is completed in the system
2.	Until the system workflow is implemented, management should establish interim controls, including:
•	Centralized credit approval register/database
•	Mandatory approval templates
•	Independent verification before contract activation</t>
  </si>
  <si>
    <t>We fully agree with the observation and are committed to strengthening control effectiveness and enhancing transparency and auditability of the credit approval workflow.
The Credit &amp; Collection Department has already submitted a formal request to the IT Department and the development team has initiated work on designing and implementing the credit approval workflow.
As interim controls, we have a credit approval register and standardized approval templates to ensure compliance with delegated authorities.</t>
  </si>
  <si>
    <t>Customer Credit Limits and SIMAH Credit Ratings Not Maintained in Fleet Express System</t>
  </si>
  <si>
    <t>It was observed that Fleet Express system does not contain customer credit limits. Approved credit limits are maintained manually in spreadsheets and physical files by Credit team. The system allows lease contracts, vehicle deliveries, and billing to be processed without validating available customer credit limits.
As a result, Fleet Express functions as a purely operational system without enforcing any credit risk controls. As for sound credit risk management practices and internal control standards, customer credit limits must be:
•	Maintained in the system
•	Linked to each customer account
•	Automatically validated before agreement creation and billing
•	Updated only through authorized approval workflows
It was observed that Credit department is maintaining SIMAH customer credit rating data on the excel sheets for all the customers approaching credit.</t>
  </si>
  <si>
    <t>1.	Management should immediately implement customer credit limits with Fleet Express with the following controls:
•	Master data fields for approved credit limit, temporary limit, and expiry date
•	Automated exposure calculation (active leases + outstanding invoices + deposits + other charges)
•	System-based blocking of new contracts when limits are exceeded
•	Integration with credit approval workflows
•	Periodic reconciliation between system exposure and approved limits
2.	Customer credit rating information generated by SIMAH should be maintained in Fleet Express and customer credit report should be attached for future reference.</t>
  </si>
  <si>
    <t>Full integration between Fleet Express and Microsoft Dynamics has not yet been completed, which prevents the activation and maintenance of customer credit limits within the system
Once the integration between both systems is finalized, all customer credit limits and Simah credit ratings will be updated and maintained directly within Fleet Express.</t>
  </si>
  <si>
    <t>Procurement Policy and Procedures Not Rolled Out Post-Approval</t>
  </si>
  <si>
    <t xml:space="preserve">During the audit of the Procurement Department, it was observed that the newly approved Procurement Policy &amp; Procedures dated March-2025 have not been formally implemented across the department. Although the policy was approved by management, operational practices continue to follow previous procurement methods and informal processes.
As per the newly approved Policy, it was observed that significant areas &amp; processes are not implemented like:
•	Procurement Principles
•	Vendor Management &amp; Evaluation
•	Contract Management
•	Emergency Procurements
•	Demand Management
•	Documentations
</t>
  </si>
  <si>
    <t xml:space="preserve">•	Management should ensure immediate organization-wide implementation of the approved Procurement Policy &amp; Procedures 
•	Officially communicating the policy to all relevant departments and stakeholders. 
•	Conducting awareness and training sessions for procurement personnel and end users. 
•	Enforcing compliance with revised approval authorities, procurement thresholds, and documentation requirements. 
•	Establishing a monitoring and compliance review mechanism to ensure effective implementation. 
•	Defining an implementation timeline with assigned responsibilities and periodic reporting to management.
</t>
  </si>
  <si>
    <t>Open Not Due</t>
  </si>
  <si>
    <t>Inadequate Monitoring of Budget vs Actual Performance in Procurement Department</t>
  </si>
  <si>
    <t xml:space="preserve">During the audit it was observed that formal Budget were not developed and actual variance analysis was not being performed for procurement-related expenditures for the years 2023, 2024, and 2025. No periodic reports or documented reviews were available to evidence monitoring actual procurement spending against approved procurement budgets.
Although procurement transactions and purchase expenditures were recorded within the system, there was no structured mechanism in place to analyze significant variances between planned procurement budgets and actual spending. In addition, variance explanations, management reviews, and corrective action tracking for deviations were not maintained.
</t>
  </si>
  <si>
    <t xml:space="preserve">•	Management should implement a monthly budget-to-actual variance analysis process for procurement expenditures.
•	Procurement expenditures should be compared against approved budgets, and significant variances should be investigated, documented, and reported to management with appropriate corrective actions. 
•	Threshold limits for acceptable variances should also be defined, with accountability assigned to responsible budget owners and procurement management.
</t>
  </si>
  <si>
    <t>Prevalence of Manual Purchase Order Issuance and Sequencing Outside the Automated System</t>
  </si>
  <si>
    <t>During the review of purchase orders for the year 2024 &amp; 2025, it was noted that 462 Pos raised amounting to SAR 675.47 million, out of that 271 POs amounting to 607 million (89% of value) were issued manually without an automated workflow of Fleet Express for issuance and approval.
Additionally, sequence numbers for POs are generated manually. This lack of automation introduces significant risks, including potential errors and intentional manipulation.
Summary of all manual Pos issued during the year 2024-2025 are provided as below:
Asset Type	2024	2025	Total
	# PO	Qty	Amount	# PO	Qty	Amount	# PO	Qty	Amount
VEHICLE	61	3453	272,723,104	61	3506	313,107,863	122	6959	585,830,968.25
MODIFICATION	45	729	11,014,485	61	3250	8,850,319	106	3979	19,864,804.85
ACCESSORIES	24	2487	830,096	14	443	559,326	38	2930	1,389,423.04
COMPUTER DEVICE	-	-	-	1	77	165,145	1	77	165,145.75
CONTRUCTION	1	1	44,062	1	1	115,914	2	2	159,976.50
SUBSCRIPTION	1	500	12,075	1	64	1,545	2	564	13,620.60
TOTAL	132	7170	284,623,823	139	7341	322,800,115	271	14511	607,423,938.98</t>
  </si>
  <si>
    <t xml:space="preserve">•	Implement an Automated Purchase Order System.
•	Implement user access controls to ensure only authorized personnel can issue or modify purchase orders.
</t>
  </si>
  <si>
    <t>Absence of Tender Evaluation, Technical Evaluation, and Vendor Pre-Qualification Committees</t>
  </si>
  <si>
    <t xml:space="preserve">1.	It was observed that the approved Procurement Policy (July 2025) mandates the establishment of following three key procurement governance committees:
1.	Tender Evaluation Committee, 
2.	Technical Evaluation Committee,
3.	and Vendor Pre-Qualification Committee.
Despite the policy being in place, has not formally constituted, approved, or documented these committees. No evidence was provided regarding committee formation approvals, appointments of members, defined roles and responsibilities, or documented committee proceedings and activities.
2.	It was noted that all procurement-related activities, including tender evaluation, technical evaluation, vendor pre-qualification, and procurement approvals, are currently being performed through a single existing Procurement Committee. However, this committee has not yet been restructured into the three segregated committees as prescribed under the newly approved Procurement Policy.
3.	In addition, governance documents relating to the existing Procurement Committee, including the approved Committee Charter and Minutes of Meetings, were not available.
</t>
  </si>
  <si>
    <t xml:space="preserve">•	Management should ensure immediate implementation of the approved Procurement Policy by formally constituting all required committees, including the Tender Evaluation Committee, Technical Evaluation Committee, and Vendor Pre-Qualification Committee. Clear appointment letters, Terms of Reference, and authority matrices should be issued.
•	Additionally, a policy compliance tracking mechanism should be introduced to monitor implementation status of approved policy, ensuring that policy approval is consistently translated into operational practice within defined timelines.
</t>
  </si>
  <si>
    <t>Absence of Structured Procurement Reporting and Monitoring Mechanisms</t>
  </si>
  <si>
    <t xml:space="preserve">It was observed that there are no structured monthly or quarterly reporting mechanisms in place for the Procurement function. Additionally, system-generated monitoring reports related to procurement activities are not being prepared, reviewed, or circulated to relevant stakeholders on a regular basis.
Key reports but not limited to such as:
•	Procurement Spend Analysis Report (Budget vs Spend, Category wise &amp; branch wise)
•	Vendor Performance Report (Delivery timelines, Quality, service performance)
•	Procurement KPI &amp; Cycle Time Report (Processing efficiency, PR-to-PO timelines, SLA compliance, and procurement delays)
•	Emergency / Non-Contract Purchase Report (urgent purchases, policy bypasses, outside approved contracts or vendors)
•	Approval Workflow Pending Report (pending approvals and bottlenecks)
•	Three-Way Match Exception Report (PO-GRN-Invoice)
•	PO Amendment &amp; Cancellation Log Report (post-approval modifications or cancellations)
•	Unauthorized / Off-System Purchase Report (outside approved procurement workflows)
</t>
  </si>
  <si>
    <t>Management acknowledges the need for structured procurement reporting and monitoring. A Procurement MIS framework will be developed and implemented, incorporating key reports relating to procurement spend, vendor performance, procurement KPIs, approval workflows, exception reporting, and policy compliance. Reporting responsibilities, review frequency, and management oversight mechanisms will be formally established to strengthen procurement governance and decision-making.</t>
  </si>
  <si>
    <t>Deficiencies in Procurement ERP (Dynamic) Access Management Controls</t>
  </si>
  <si>
    <t xml:space="preserve">All procurements except vehicles are executed through Dynamics ERP system. During review of access rights in this system, we identified the following:
1.	Microsoft Dynamics ERP system access rights are not subject to a formalized periodic review process. Two user accounts belong to resigned/left employees for 4 Years now is still active and having certain access levels in procurement. Details are as under:
ID	Employee Name	Job Title	Empl. Status	System Status	Date of Leaving
99588	Saleh Ahmed Bamoukrah	IT Manager	Inactive	Active	08-June-2022
99668	Moayad Zuhhir	Accountant	Inactive	Active	15-May-2022
2.	System roles are not adequately customized and privileged access is being granted uniformly to users assigned to ERP roles, irrespective of their job responsibilities and operational requirements. Specifically, the roles such as Purchase Requester – Department Manager and Purchasing Agent are assigned to employees outside the procurement department, and in some instances, the same role is shared across multiple departments without proper justification. 
Refer Annexure 3.1 for details of exceptions identified.
3.	Purchasing Agent role within the Microsoft Dynamics ERP system has been assigned conflicting and overlapping procurement privileges that are not in line with segregation of duties principles. Excessive roles have been assigned to non-procurement department employees.  
Refer Annexure 3.2 for details of exceptions identified.
</t>
  </si>
  <si>
    <t xml:space="preserve">•	Management should immediately review and redesign ERP role definitions to ensure proper segregation of duties and alignment with job responsibilities.
•	Access rights should be restricted based on the principle of least privilege. Roles such as purchase requester, purchasing agent, and approver should be clearly separated, and access should be granted strictly based on departmental needs and approved authority matrices.
•	Periodic user access reviews and SoD conflict monitoring should be implemented to prevent recurrence.
</t>
  </si>
  <si>
    <t>Lack of Segregation of Duties for Procurement Roles in Fleet Express System</t>
  </si>
  <si>
    <t xml:space="preserve">All procurement of vehicles is executed through fleet express system, during review of access rights we identified the following:
One user, the Procurement Supervisor (currently acting as Procurement Manager), has been granted excessive access rights within the ERP system covering the entire procurement cycle. The user can generate, modify, and approve both Purchase Requisitions (PRs) and Purchase Orders (POs) within the system.
Granting a single individual end-to-end control over procurement transactions violates the fundamental principle of segregation of duties. Such unrestricted access significantly weakens internal controls and increases the risk of unauthorized transactions.
</t>
  </si>
  <si>
    <t xml:space="preserve">•	Management should perform a comprehensive review of procurement system access rights within the Fleet Express system and remove all conflicting and excessive role assignments in line with the Segregation of Duties principle.
•	Critical procurement activities such as vendor creation/modification, PR/PO creation, approval, and PO closure should be segregated among different authorized personnel with appropriate approval hierarchies and independent oversight.
</t>
  </si>
  <si>
    <t>Weak Petty Cash Governance</t>
  </si>
  <si>
    <t xml:space="preserve">During review of the petty cash process and related transactions, the following control weaknesses were noted:
•	The defined list of allowable expenses as per the petty cash policy is not being consistently followed in practice.  instances are provided in Appendix # 4
•	The prescribed limit of SAR 2,500 on maximum single petty cash payment is not being adhered to. instances are provided in Appendix # 4 
•	Petty cash limits allocated to employees appear excessive and are not aligned with their actual average monthly expenditure requirements. 
•	Periodic (monthly, quarterly) surprise cash counts and related verification procedures, as required by policy, are not being conducted. 
</t>
  </si>
  <si>
    <t xml:space="preserve">•	Management should strengthen the petty cash control environment by ensuring strict compliance with the approved petty cash policy. 
•	The defined list of allowable expenses and the maximum single transaction limit of SAR 2,500 should be consistently enforced, with exceptions permitted only through documented and authorized approvals.
•	Petty cash limits assigned to employees should be reviewed periodically and rationalized based on actual operational requirements and historical spending patterns to avoid excess fund allocation and idle cash exposure.
•	Ensure periodic surprise cash counts and independent verification of petty cash balances in accordance with policy requirements. 
</t>
  </si>
  <si>
    <t>Inadequate Cash Flow Forecasting and Monitoring Process</t>
  </si>
  <si>
    <t xml:space="preserve">During the review of forecasted cash flow statements provided by management, the following observations were noted:
1.	Annual cash flow forecast along with variance analysis for the year 2025 was not available for review. Absence of variance analysis indicates inadequate monitoring and tracking of actual cash flows against forecasted cash flows, which may impact effective liquidity management and timely decision-making.
2.	Monthly cash flow forecasts are not formally approved by the competent authorities.
3.	Cash flow forecasts are prepared manually and are not integrated with the ERP system
</t>
  </si>
  <si>
    <t xml:space="preserve">•	Management should implement forecasted cash flow policy that includes preparation of annual and monthly cash flow forecasts along with periodic variance analysis comparing actual versus forecasted cash flows. Significant variances should be analyzed, documented, and reported to management for corrective action and improved forecasting accuracy.
•	Further, all monthly cash flow forecasts should be reviewed and formally approved by the competent authorities to ensure accountability, reliability, and proper oversight of liquidity planning.
•	Management should also consider integrating the cash flow forecasting process with the ERP system to enable automated data extraction, improve accuracy and efficiency, minimize manual intervention, and strengthen monitoring and reporting capabilities.
</t>
  </si>
  <si>
    <t>Inadequate Controls over Bonus Provision</t>
  </si>
  <si>
    <t xml:space="preserve">It was observed that an accrued bonus provision amounting to SAR 2.4 million recorded in the financial statements as of 31 December 2025 was not supported by a documented calculation basis, formal management approval, or an approved bonus policy/framework.
Upon inquiry, management informed that the provision was recorded based on past practice and verbal instructions from the CFO.
</t>
  </si>
  <si>
    <t>Management should establish a formal and approved bonus policy defining eligibility, calculation methodology, approval hierarchy, and performance criteria. All accrued bonus provisions should be supported with detailed workings, documented basis, and formal approvals from authorized personnel prior to recording them in the books of accounts.</t>
  </si>
  <si>
    <t>Weaknesses identified in Bank Reconciliation Process</t>
  </si>
  <si>
    <t xml:space="preserve">1.	Bank Reconciliation Statements are prepared manually and are not automated through the ERP/system. Manual preparation increases the risk of human error, omissions, inaccuracies, and delays in reconciliation processes.
2.	Bank Reconciliation statements do not show date of preparation, review and approval.
</t>
  </si>
  <si>
    <t xml:space="preserve">•	Management should ensure timely investigation and clearance of all unreconciled items, particularly long outstanding transactions, with proper supporting documentation and accounting adjustments where required. Periodic follow-up should be performed to ensure reconciling items are resolved within a defined timeframe.
•	Further, management should automate the bank reconciliation process through ERP/system integration to improve accuracy, efficiency, and completeness of reconciliations while minimizing manual intervention and related risks.
•	Bank Reconciliation Statements should also include proper evidence of preparation, review, and approval, including names, signatures/initials, and dates, to strengthen accountability and supervisory controls over the reconciliation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</si>
</sst>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m\-yy;@"/>
    <numFmt numFmtId="165" formatCode="[$-409]d\-mmm\-yy;@"/>
    <numFmt numFmtId="166" formatCode="[$-409]d/mmm/yyyy;@"/>
  </numFmts>
  <fonts count="29" x14ac:knownFonts="1">
    <font>
      <sz val="11"/>
      <color theme="1"/>
      <name val="Calibri"/>
      <family val="2"/>
      <scheme val="minor"/>
    </font>
    <font>
      <sz val="11"/>
      <color theme="1"/>
      <name val="Calibri"/>
      <scheme val="minor"/>
    </font>
    <font>
      <b/>
      <sz val="11"/>
      <color theme="1"/>
      <name val="Calibri"/>
      <family val="2"/>
      <scheme val="minor"/>
    </font>
    <font>
      <sz val="10"/>
      <color theme="1"/>
      <name val="Calibri"/>
      <family val="2"/>
      <scheme val="minor"/>
    </font>
    <font>
      <b/>
      <sz val="18"/>
      <color theme="1"/>
      <name val="Calibri"/>
      <family val="2"/>
      <scheme val="minor"/>
    </font>
    <font>
      <b/>
      <sz val="10"/>
      <color theme="0"/>
      <name val="Calibri"/>
      <family val="2"/>
      <scheme val="minor"/>
    </font>
    <font>
      <b/>
      <sz val="10"/>
      <name val="Calibri"/>
      <family val="2"/>
      <scheme val="minor"/>
    </font>
    <font>
      <sz val="10"/>
      <name val="Calibri"/>
      <family val="2"/>
      <scheme val="minor"/>
    </font>
    <font>
      <sz val="10"/>
      <color rgb="FF000000"/>
      <name val="Calibri"/>
      <family val="2"/>
      <scheme val="minor"/>
    </font>
    <font>
      <b/>
      <sz val="10"/>
      <color theme="1"/>
      <name val="Calibri"/>
      <family val="2"/>
      <scheme val="minor"/>
    </font>
    <font>
      <b/>
      <sz val="11"/>
      <color theme="1"/>
      <name val="Calibri Light"/>
      <family val="2"/>
    </font>
    <font>
      <sz val="11"/>
      <name val="Calibri"/>
      <family val="2"/>
      <scheme val="minor"/>
    </font>
    <font>
      <sz val="11"/>
      <color rgb="FF000000"/>
      <name val="Calibri"/>
      <family val="2"/>
      <scheme val="minor"/>
    </font>
    <font>
      <sz val="11"/>
      <color rgb="FFFFFFFF"/>
      <name val="Calibri"/>
      <family val="2"/>
      <scheme val="minor"/>
    </font>
    <font>
      <sz val="12"/>
      <color theme="1"/>
      <name val="Calibri"/>
      <family val="2"/>
      <scheme val="minor"/>
    </font>
    <font>
      <b/>
      <sz val="12"/>
      <color theme="1"/>
      <name val="Calibri"/>
      <family val="2"/>
      <scheme val="minor"/>
    </font>
    <font>
      <sz val="11"/>
      <color theme="1"/>
      <name val="Times New Roman"/>
      <family val="1"/>
    </font>
    <font>
      <sz val="11"/>
      <color theme="1"/>
      <name val="Aptos"/>
      <family val="2"/>
    </font>
    <font>
      <sz val="11"/>
      <color rgb="FF000000"/>
      <name val="Aptos"/>
      <family val="2"/>
    </font>
    <font>
      <sz val="11"/>
      <color theme="1"/>
      <name val="Calibri Light"/>
      <family val="2"/>
    </font>
    <font>
      <sz val="10"/>
      <color theme="1"/>
      <name val="Calibri"/>
      <scheme val="minor"/>
    </font>
    <font>
      <sz val="12"/>
      <color theme="1"/>
      <name val="Calibri"/>
      <scheme val="minor"/>
    </font>
    <font>
      <sz val="10"/>
      <name val="Calibri"/>
      <scheme val="minor"/>
    </font>
    <font>
      <b/>
      <sz val="11"/>
      <color rgb="FFFFFFFF"/>
      <name val="Calibri"/>
      <scheme val="minor"/>
    </font>
    <font>
      <b/>
      <sz val="10"/>
      <color theme="0"/>
      <name val="Calibri"/>
      <scheme val="minor"/>
    </font>
    <font>
      <sz val="11"/>
      <color rgb="FF000000"/>
      <name val="Calibri"/>
      <scheme val="minor"/>
    </font>
    <font>
      <b/>
      <sz val="10"/>
      <color rgb="FFFF0000"/>
      <name val="Calibri"/>
      <family val="2"/>
      <scheme val="minor"/>
    </font>
    <font>
      <b/>
      <sz val="11"/>
      <color rgb="FF000000"/>
      <name val="Aptos"/>
      <family val="2"/>
    </font>
    <font>
      <b/>
      <sz val="10"/>
      <color rgb="FF000000"/>
      <name val="Aptos"/>
      <family val="2"/>
    </font>
  </fonts>
  <fills count="11">
    <fill>
      <patternFill patternType="none"/>
    </fill>
    <fill>
      <patternFill patternType="gray125"/>
    </fill>
    <fill>
      <patternFill patternType="solid">
        <fgColor theme="0"/>
        <bgColor indexed="64"/>
      </patternFill>
    </fill>
    <fill>
      <patternFill patternType="solid">
        <fgColor theme="4" tint="-0.24994659260841701"/>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FF00"/>
        <bgColor rgb="FF000000"/>
      </patternFill>
    </fill>
    <fill>
      <patternFill patternType="solid">
        <fgColor rgb="FF00B050"/>
        <bgColor rgb="FF000000"/>
      </patternFill>
    </fill>
    <fill>
      <patternFill patternType="solid">
        <fgColor rgb="FFFF0000"/>
        <bgColor rgb="FF000000"/>
      </patternFill>
    </fill>
    <fill>
      <patternFill patternType="solid">
        <fgColor theme="9" tint="-0.249977111117893"/>
        <bgColor indexed="64"/>
      </patternFill>
    </fill>
  </fills>
  <borders count="25">
    <border>
      <left/>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auto="1"/>
      </left>
      <right/>
      <top style="medium">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style="thin">
        <color auto="1"/>
      </right>
      <top style="medium">
        <color auto="1"/>
      </top>
      <bottom/>
      <diagonal/>
    </border>
    <border>
      <left/>
      <right style="thin">
        <color auto="1"/>
      </right>
      <top style="medium">
        <color auto="1"/>
      </top>
      <bottom/>
      <diagonal/>
    </border>
    <border>
      <left/>
      <right style="thin">
        <color rgb="FF000000"/>
      </right>
      <top style="thin">
        <color rgb="FF000000"/>
      </top>
      <bottom style="thin">
        <color rgb="FF000000"/>
      </bottom>
      <diagonal/>
    </border>
  </borders>
  <cellStyleXfs count="1">
    <xf numFmtId="0" fontId="0" fillId="0" borderId="0"/>
  </cellStyleXfs>
  <cellXfs count="134">
    <xf numFmtId="0" fontId="0" fillId="0" borderId="0" xfId="0"/>
    <xf numFmtId="0" fontId="3" fillId="0" borderId="0" xfId="0" applyFont="1"/>
    <xf numFmtId="164" fontId="3" fillId="0" borderId="0" xfId="0" applyNumberFormat="1" applyFont="1"/>
    <xf numFmtId="0" fontId="4" fillId="0" borderId="0" xfId="0" applyFont="1" applyAlignment="1">
      <alignment horizontal="left" vertical="center"/>
    </xf>
    <xf numFmtId="0" fontId="3" fillId="0" borderId="0" xfId="0" applyFont="1" applyAlignment="1">
      <alignment horizontal="center" vertical="center"/>
    </xf>
    <xf numFmtId="0" fontId="3" fillId="2" borderId="0" xfId="0" applyFont="1" applyFill="1"/>
    <xf numFmtId="0" fontId="3" fillId="0" borderId="0" xfId="0" applyFont="1" applyAlignment="1">
      <alignment horizontal="left" vertical="top"/>
    </xf>
    <xf numFmtId="0" fontId="3" fillId="0" borderId="0" xfId="0" applyFont="1" applyAlignment="1">
      <alignment wrapText="1"/>
    </xf>
    <xf numFmtId="165" fontId="3" fillId="0" borderId="0" xfId="0" applyNumberFormat="1" applyFont="1"/>
    <xf numFmtId="0" fontId="4" fillId="0" borderId="0" xfId="0" applyFont="1" applyAlignment="1">
      <alignment horizontal="left" vertical="top"/>
    </xf>
    <xf numFmtId="14" fontId="3" fillId="0" borderId="0" xfId="0" applyNumberFormat="1" applyFont="1" applyAlignment="1">
      <alignment horizontal="center"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2" borderId="3" xfId="0" applyFont="1" applyFill="1" applyBorder="1" applyAlignment="1">
      <alignment vertical="center" wrapText="1"/>
    </xf>
    <xf numFmtId="0" fontId="3" fillId="0" borderId="3" xfId="0" applyFont="1" applyBorder="1" applyAlignment="1">
      <alignment horizontal="left" vertical="top" wrapText="1"/>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166" fontId="3" fillId="0" borderId="3" xfId="0" applyNumberFormat="1" applyFont="1" applyBorder="1" applyAlignment="1">
      <alignment horizontal="center" vertical="center"/>
    </xf>
    <xf numFmtId="165" fontId="3" fillId="0" borderId="3" xfId="0" applyNumberFormat="1" applyFont="1" applyBorder="1" applyAlignment="1">
      <alignment horizontal="center" vertical="center"/>
    </xf>
    <xf numFmtId="165" fontId="7" fillId="0" borderId="3" xfId="0" applyNumberFormat="1" applyFont="1" applyBorder="1" applyAlignment="1">
      <alignment horizontal="center" vertical="center"/>
    </xf>
    <xf numFmtId="0" fontId="3" fillId="0" borderId="3" xfId="0" applyFont="1" applyBorder="1"/>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5" fillId="0" borderId="3" xfId="0" applyFont="1" applyBorder="1" applyAlignment="1">
      <alignment horizontal="center" vertical="center"/>
    </xf>
    <xf numFmtId="0" fontId="8" fillId="0" borderId="3" xfId="0" applyFont="1" applyBorder="1" applyAlignment="1">
      <alignment vertical="center" wrapText="1"/>
    </xf>
    <xf numFmtId="0" fontId="9" fillId="0" borderId="3" xfId="0" applyFont="1" applyBorder="1" applyAlignment="1">
      <alignment horizontal="center" vertical="center"/>
    </xf>
    <xf numFmtId="0" fontId="3" fillId="0" borderId="3" xfId="0" applyFont="1" applyBorder="1" applyAlignment="1">
      <alignment vertical="center"/>
    </xf>
    <xf numFmtId="0" fontId="3" fillId="0" borderId="3" xfId="0" applyFont="1" applyBorder="1" applyAlignment="1">
      <alignment wrapText="1"/>
    </xf>
    <xf numFmtId="0" fontId="3" fillId="0" borderId="3" xfId="0" applyFont="1" applyBorder="1" applyAlignment="1">
      <alignment horizontal="left" vertical="top"/>
    </xf>
    <xf numFmtId="166" fontId="2" fillId="0" borderId="3" xfId="0" applyNumberFormat="1" applyFont="1" applyBorder="1" applyAlignment="1">
      <alignment horizontal="center" vertical="center"/>
    </xf>
    <xf numFmtId="0" fontId="3" fillId="0" borderId="3" xfId="0" applyFont="1" applyBorder="1" applyAlignment="1">
      <alignment vertical="top" wrapText="1"/>
    </xf>
    <xf numFmtId="0" fontId="2" fillId="0" borderId="3" xfId="0" applyFont="1" applyBorder="1" applyAlignment="1">
      <alignment horizontal="justify" vertical="center"/>
    </xf>
    <xf numFmtId="0" fontId="2" fillId="0" borderId="3" xfId="0" applyFont="1" applyBorder="1" applyAlignment="1">
      <alignment horizontal="justify" vertical="center" wrapText="1"/>
    </xf>
    <xf numFmtId="0" fontId="0" fillId="0" borderId="3" xfId="0" applyBorder="1" applyAlignment="1">
      <alignment vertical="top" wrapText="1"/>
    </xf>
    <xf numFmtId="166" fontId="10" fillId="0" borderId="3" xfId="0" applyNumberFormat="1" applyFont="1" applyBorder="1" applyAlignment="1">
      <alignment horizontal="center" vertical="center"/>
    </xf>
    <xf numFmtId="0" fontId="11" fillId="0" borderId="3" xfId="0" applyFont="1" applyBorder="1" applyAlignment="1">
      <alignment vertical="center" wrapText="1"/>
    </xf>
    <xf numFmtId="0" fontId="12" fillId="0" borderId="3" xfId="0" applyFont="1" applyBorder="1" applyAlignment="1">
      <alignment vertical="center" wrapText="1"/>
    </xf>
    <xf numFmtId="0" fontId="2" fillId="0" borderId="3" xfId="0" applyFont="1" applyBorder="1" applyAlignment="1">
      <alignment vertical="center" wrapText="1"/>
    </xf>
    <xf numFmtId="0" fontId="11" fillId="0" borderId="0" xfId="0" applyFont="1" applyAlignment="1">
      <alignment vertical="center" wrapText="1"/>
    </xf>
    <xf numFmtId="0" fontId="0" fillId="0" borderId="0" xfId="0" applyAlignment="1">
      <alignment vertical="center" wrapText="1"/>
    </xf>
    <xf numFmtId="166" fontId="7" fillId="0" borderId="3" xfId="0" applyNumberFormat="1" applyFont="1" applyBorder="1" applyAlignment="1">
      <alignment horizontal="center" vertical="center"/>
    </xf>
    <xf numFmtId="166" fontId="2" fillId="0" borderId="3" xfId="0" applyNumberFormat="1" applyFont="1" applyBorder="1" applyAlignment="1">
      <alignment horizontal="left" vertical="center"/>
    </xf>
    <xf numFmtId="14" fontId="6" fillId="0" borderId="3" xfId="0" applyNumberFormat="1" applyFont="1" applyBorder="1" applyAlignment="1">
      <alignment horizontal="center" vertical="center"/>
    </xf>
    <xf numFmtId="14" fontId="2" fillId="0" borderId="3" xfId="0" applyNumberFormat="1" applyFont="1" applyBorder="1" applyAlignment="1">
      <alignment horizontal="left" vertical="center"/>
    </xf>
    <xf numFmtId="0" fontId="14" fillId="0" borderId="0" xfId="0" applyFont="1" applyAlignment="1">
      <alignment horizontal="justify" vertical="center"/>
    </xf>
    <xf numFmtId="0" fontId="3" fillId="0" borderId="4" xfId="0" applyFont="1" applyBorder="1" applyAlignment="1">
      <alignment horizontal="center" vertical="center"/>
    </xf>
    <xf numFmtId="0" fontId="3" fillId="0" borderId="4" xfId="0" applyFont="1" applyBorder="1" applyAlignment="1">
      <alignment vertical="center" wrapText="1"/>
    </xf>
    <xf numFmtId="0" fontId="9" fillId="0" borderId="4" xfId="0" applyFont="1" applyBorder="1" applyAlignment="1">
      <alignment horizontal="center" vertical="center"/>
    </xf>
    <xf numFmtId="0" fontId="6" fillId="0" borderId="4" xfId="0" applyFont="1" applyBorder="1" applyAlignment="1">
      <alignment horizontal="center" vertical="center" wrapText="1"/>
    </xf>
    <xf numFmtId="0" fontId="2" fillId="0" borderId="4" xfId="0" applyFont="1" applyBorder="1" applyAlignment="1">
      <alignment vertical="center" wrapText="1"/>
    </xf>
    <xf numFmtId="166" fontId="2" fillId="0" borderId="4" xfId="0" applyNumberFormat="1" applyFont="1" applyBorder="1" applyAlignment="1">
      <alignment horizontal="left" vertical="center"/>
    </xf>
    <xf numFmtId="14" fontId="2" fillId="0" borderId="4" xfId="0" applyNumberFormat="1" applyFont="1" applyBorder="1" applyAlignment="1">
      <alignment horizontal="left" vertical="center"/>
    </xf>
    <xf numFmtId="0" fontId="15" fillId="0" borderId="0" xfId="0" applyFont="1" applyAlignment="1">
      <alignment horizontal="center" vertical="center"/>
    </xf>
    <xf numFmtId="0" fontId="3" fillId="0" borderId="3" xfId="0" applyFont="1" applyBorder="1" applyAlignment="1">
      <alignment horizontal="left" vertical="center"/>
    </xf>
    <xf numFmtId="0" fontId="16" fillId="0" borderId="0" xfId="0" applyFont="1" applyAlignment="1">
      <alignment vertical="center"/>
    </xf>
    <xf numFmtId="14" fontId="2" fillId="0" borderId="3" xfId="0" applyNumberFormat="1" applyFont="1" applyBorder="1" applyAlignment="1">
      <alignment horizontal="left" vertical="center" wrapText="1"/>
    </xf>
    <xf numFmtId="166" fontId="2" fillId="0" borderId="3" xfId="0" applyNumberFormat="1" applyFont="1" applyBorder="1" applyAlignment="1">
      <alignment horizontal="left" vertical="center" wrapText="1"/>
    </xf>
    <xf numFmtId="165" fontId="7" fillId="0" borderId="0" xfId="0" applyNumberFormat="1" applyFont="1"/>
    <xf numFmtId="0" fontId="17" fillId="0" borderId="3" xfId="0" applyFont="1" applyBorder="1" applyAlignment="1">
      <alignment horizontal="left" vertical="center" wrapText="1"/>
    </xf>
    <xf numFmtId="0" fontId="17" fillId="0" borderId="3" xfId="0" applyFont="1" applyBorder="1" applyAlignment="1">
      <alignment vertical="center" wrapText="1"/>
    </xf>
    <xf numFmtId="0" fontId="18" fillId="0" borderId="3" xfId="0" applyFont="1" applyBorder="1" applyAlignment="1">
      <alignment horizontal="justify" vertical="center" wrapText="1"/>
    </xf>
    <xf numFmtId="0" fontId="17" fillId="0" borderId="3" xfId="0" applyFont="1" applyBorder="1" applyAlignment="1">
      <alignment horizontal="justify" vertical="center" wrapText="1"/>
    </xf>
    <xf numFmtId="0" fontId="17" fillId="0" borderId="4" xfId="0" applyFont="1" applyBorder="1" applyAlignment="1">
      <alignment horizontal="justify" vertical="center" wrapText="1"/>
    </xf>
    <xf numFmtId="0" fontId="17" fillId="0" borderId="3" xfId="0" applyFont="1" applyBorder="1" applyAlignment="1">
      <alignment horizontal="center" vertical="center"/>
    </xf>
    <xf numFmtId="0" fontId="17" fillId="5" borderId="3" xfId="0" applyFont="1" applyFill="1" applyBorder="1" applyAlignment="1">
      <alignment horizontal="center" vertical="center"/>
    </xf>
    <xf numFmtId="0" fontId="17" fillId="6" borderId="3" xfId="0" applyFont="1" applyFill="1" applyBorder="1" applyAlignment="1">
      <alignment horizontal="center" vertical="center"/>
    </xf>
    <xf numFmtId="0" fontId="17" fillId="6" borderId="4" xfId="0" applyFont="1" applyFill="1" applyBorder="1" applyAlignment="1">
      <alignment horizontal="center" vertical="center"/>
    </xf>
    <xf numFmtId="0" fontId="14" fillId="0" borderId="0" xfId="0" applyFont="1" applyAlignment="1">
      <alignment horizontal="center" vertical="center" wrapText="1"/>
    </xf>
    <xf numFmtId="0" fontId="16" fillId="0" borderId="0" xfId="0" applyFont="1" applyAlignment="1">
      <alignment horizontal="center" vertical="center" wrapText="1"/>
    </xf>
    <xf numFmtId="1" fontId="3" fillId="0" borderId="3" xfId="0" applyNumberFormat="1" applyFont="1" applyBorder="1" applyAlignment="1">
      <alignment horizontal="center" vertical="center"/>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5" fillId="3" borderId="16"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4" xfId="0" applyFont="1" applyBorder="1" applyAlignment="1">
      <alignment horizontal="left" vertical="center" wrapText="1"/>
    </xf>
    <xf numFmtId="165" fontId="7" fillId="0" borderId="20" xfId="0" applyNumberFormat="1" applyFont="1" applyBorder="1" applyAlignment="1">
      <alignment horizontal="center" vertical="center"/>
    </xf>
    <xf numFmtId="165" fontId="3" fillId="0" borderId="20" xfId="0" applyNumberFormat="1" applyFont="1" applyBorder="1" applyAlignment="1">
      <alignment horizontal="center" vertical="center"/>
    </xf>
    <xf numFmtId="14" fontId="0" fillId="0" borderId="20" xfId="0" applyNumberFormat="1" applyBorder="1" applyAlignment="1">
      <alignment horizontal="center" vertical="center"/>
    </xf>
    <xf numFmtId="14" fontId="0" fillId="0" borderId="21" xfId="0" applyNumberFormat="1" applyBorder="1" applyAlignment="1">
      <alignment horizontal="center" vertical="center"/>
    </xf>
    <xf numFmtId="14" fontId="0" fillId="0" borderId="20" xfId="0" applyNumberFormat="1" applyBorder="1" applyAlignment="1">
      <alignment horizontal="center" vertical="center" wrapText="1"/>
    </xf>
    <xf numFmtId="166" fontId="0" fillId="0" borderId="20" xfId="0" applyNumberFormat="1" applyBorder="1" applyAlignment="1">
      <alignment horizontal="center" vertical="center"/>
    </xf>
    <xf numFmtId="0" fontId="20" fillId="0" borderId="17" xfId="0" applyFont="1" applyBorder="1" applyAlignment="1">
      <alignment horizontal="center" vertical="center"/>
    </xf>
    <xf numFmtId="166" fontId="20" fillId="0" borderId="17" xfId="0" applyNumberFormat="1" applyFont="1" applyBorder="1" applyAlignment="1">
      <alignment horizontal="center" vertical="center"/>
    </xf>
    <xf numFmtId="166" fontId="22" fillId="0" borderId="17" xfId="0" applyNumberFormat="1" applyFont="1" applyBorder="1" applyAlignment="1">
      <alignment horizontal="center" vertical="center"/>
    </xf>
    <xf numFmtId="0" fontId="20" fillId="0" borderId="24" xfId="0" applyFont="1" applyBorder="1" applyAlignment="1">
      <alignment horizontal="center" vertical="center"/>
    </xf>
    <xf numFmtId="0" fontId="21" fillId="0" borderId="24" xfId="0" applyFont="1" applyBorder="1" applyAlignment="1">
      <alignment horizontal="center" vertical="center"/>
    </xf>
    <xf numFmtId="0" fontId="24" fillId="3" borderId="1" xfId="0" applyFont="1" applyFill="1" applyBorder="1" applyAlignment="1">
      <alignment horizontal="center" vertical="center" wrapText="1"/>
    </xf>
    <xf numFmtId="0" fontId="25" fillId="0" borderId="3" xfId="0" applyFont="1" applyBorder="1" applyAlignment="1">
      <alignment horizontal="left" vertical="center" wrapText="1"/>
    </xf>
    <xf numFmtId="0" fontId="25" fillId="0" borderId="3" xfId="0" applyFont="1" applyBorder="1" applyAlignment="1">
      <alignment vertical="center" wrapText="1"/>
    </xf>
    <xf numFmtId="0" fontId="25" fillId="0" borderId="3" xfId="0" applyFont="1" applyBorder="1" applyAlignment="1">
      <alignment horizontal="justify" vertical="center" wrapText="1"/>
    </xf>
    <xf numFmtId="0" fontId="25" fillId="7" borderId="3" xfId="0" applyFont="1" applyFill="1" applyBorder="1" applyAlignment="1">
      <alignment vertical="center" wrapText="1"/>
    </xf>
    <xf numFmtId="0" fontId="25" fillId="0" borderId="4" xfId="0" applyFont="1" applyBorder="1" applyAlignment="1">
      <alignment vertical="center" wrapText="1"/>
    </xf>
    <xf numFmtId="0" fontId="26" fillId="5" borderId="17"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5" fillId="3" borderId="17" xfId="0" applyFont="1" applyFill="1" applyBorder="1" applyAlignment="1">
      <alignment horizontal="center" vertical="center" wrapText="1"/>
    </xf>
    <xf numFmtId="166" fontId="3" fillId="0" borderId="17" xfId="0" applyNumberFormat="1" applyFont="1" applyBorder="1" applyAlignment="1">
      <alignment horizontal="center" vertical="center"/>
    </xf>
    <xf numFmtId="166" fontId="0" fillId="0" borderId="17" xfId="0" applyNumberFormat="1" applyBorder="1" applyAlignment="1">
      <alignment horizontal="center" vertical="center"/>
    </xf>
    <xf numFmtId="166" fontId="19" fillId="0" borderId="17" xfId="0" applyNumberFormat="1" applyFont="1" applyBorder="1" applyAlignment="1">
      <alignment horizontal="center" vertical="center"/>
    </xf>
    <xf numFmtId="166" fontId="7" fillId="0" borderId="17" xfId="0" applyNumberFormat="1" applyFont="1" applyBorder="1" applyAlignment="1">
      <alignment horizontal="center" vertical="center"/>
    </xf>
    <xf numFmtId="166" fontId="0" fillId="0" borderId="17" xfId="0" applyNumberFormat="1"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center" wrapText="1"/>
    </xf>
    <xf numFmtId="0" fontId="3" fillId="0" borderId="18" xfId="0" applyFont="1" applyBorder="1" applyAlignment="1">
      <alignment horizontal="center" vertical="top"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4" fontId="0" fillId="0" borderId="18" xfId="0" applyNumberFormat="1" applyBorder="1" applyAlignment="1">
      <alignment horizontal="center" vertical="center" wrapText="1"/>
    </xf>
    <xf numFmtId="0" fontId="26" fillId="5" borderId="24" xfId="0" applyFont="1" applyFill="1" applyBorder="1" applyAlignment="1">
      <alignment horizontal="center" vertical="center" wrapText="1"/>
    </xf>
    <xf numFmtId="166" fontId="20" fillId="0" borderId="24" xfId="0" applyNumberFormat="1" applyFont="1" applyBorder="1" applyAlignment="1">
      <alignment horizontal="center" vertical="center"/>
    </xf>
    <xf numFmtId="166" fontId="22" fillId="0" borderId="24" xfId="0" applyNumberFormat="1" applyFont="1" applyBorder="1" applyAlignment="1">
      <alignment horizontal="center" vertical="center"/>
    </xf>
    <xf numFmtId="0" fontId="27" fillId="5" borderId="3" xfId="0" applyFont="1" applyFill="1" applyBorder="1" applyAlignment="1">
      <alignment horizontal="center" vertical="center"/>
    </xf>
    <xf numFmtId="0" fontId="28" fillId="8" borderId="3" xfId="0" applyFont="1" applyFill="1" applyBorder="1" applyAlignment="1">
      <alignment horizontal="center" vertical="center"/>
    </xf>
    <xf numFmtId="0" fontId="27" fillId="8" borderId="3" xfId="0" applyFont="1" applyFill="1" applyBorder="1" applyAlignment="1">
      <alignment horizontal="center" vertical="center"/>
    </xf>
    <xf numFmtId="0" fontId="27" fillId="9" borderId="3" xfId="0" applyFont="1" applyFill="1" applyBorder="1" applyAlignment="1">
      <alignment horizontal="center" vertical="center"/>
    </xf>
    <xf numFmtId="0" fontId="5" fillId="10" borderId="17" xfId="0" applyFont="1" applyFill="1" applyBorder="1" applyAlignment="1">
      <alignment horizontal="center" vertical="center" wrapText="1"/>
    </xf>
    <xf numFmtId="166" fontId="1" fillId="0" borderId="24" xfId="0" applyNumberFormat="1" applyFont="1" applyBorder="1" applyAlignment="1">
      <alignment horizontal="center" vertical="center"/>
    </xf>
    <xf numFmtId="166" fontId="1" fillId="0" borderId="17" xfId="0" applyNumberFormat="1" applyFont="1" applyBorder="1" applyAlignment="1">
      <alignment horizontal="center" vertical="center"/>
    </xf>
    <xf numFmtId="0" fontId="1" fillId="0" borderId="24" xfId="0" applyFont="1" applyBorder="1" applyAlignment="1">
      <alignment horizontal="center" vertical="center"/>
    </xf>
    <xf numFmtId="166" fontId="1" fillId="0" borderId="24" xfId="0" applyNumberFormat="1" applyFont="1" applyBorder="1" applyAlignment="1">
      <alignment horizontal="center" vertical="center" wrapText="1"/>
    </xf>
    <xf numFmtId="166" fontId="1" fillId="0" borderId="17" xfId="0" applyNumberFormat="1" applyFont="1" applyBorder="1" applyAlignment="1">
      <alignment horizontal="center" vertical="center" wrapText="1"/>
    </xf>
  </cellXfs>
  <cellStyles count="1">
    <cellStyle name="Normal" xfId="0" builtinId="0"/>
  </cellStyles>
  <dxfs count="60">
    <dxf>
      <fill>
        <patternFill>
          <bgColor rgb="FFC00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C00000"/>
        </patternFill>
      </fill>
    </dxf>
    <dxf>
      <fill>
        <patternFill>
          <bgColor rgb="FFFFFF00"/>
        </patternFill>
      </fill>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6" formatCode="[$-409]d/mmm/yy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409]mm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rgb="FF000000"/>
        </right>
        <bottom style="thin">
          <color rgb="FF000000"/>
        </bottom>
      </border>
    </dxf>
    <dxf>
      <font>
        <b val="0"/>
        <i val="0"/>
        <strike val="0"/>
        <condense val="0"/>
        <extend val="0"/>
        <outline val="0"/>
        <shadow val="0"/>
        <u val="none"/>
        <vertAlign val="baseline"/>
        <sz val="10"/>
        <color rgb="FF000000"/>
        <name val="Calibri"/>
        <family val="2"/>
        <scheme val="none"/>
      </font>
    </dxf>
    <dxf>
      <border outline="0">
        <bottom style="thin">
          <color rgb="FF000000"/>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dxf>
    <dxf>
      <font>
        <b val="0"/>
        <i val="0"/>
        <strike val="0"/>
        <condense val="0"/>
        <extend val="0"/>
        <outline val="0"/>
        <shadow val="0"/>
        <u val="none"/>
        <vertAlign val="baseline"/>
        <sz val="11"/>
        <color theme="1"/>
        <name val="Calibri"/>
        <family val="2"/>
        <scheme val="minor"/>
      </font>
      <numFmt numFmtId="19" formatCode="dd/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z val="10"/>
        <name val="Calibri"/>
        <scheme val="minor"/>
      </font>
      <numFmt numFmtId="166" formatCode="[$-409]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scheme val="minor"/>
      </font>
      <numFmt numFmtId="166" formatCode="[$-409]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scheme val="minor"/>
      </font>
      <numFmt numFmtId="166" formatCode="[$-409]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scheme val="minor"/>
      </font>
      <numFmt numFmtId="166" formatCode="[$-409]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6" formatCode="[$-409]d/mmm/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numFmt numFmtId="166" formatCode="[$-409]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ptos"/>
        <family val="2"/>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Calibri"/>
        <scheme val="minor"/>
      </font>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409]mm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rgb="FF000000"/>
        </right>
        <bottom style="thin">
          <color rgb="FF000000"/>
        </bottom>
      </border>
    </dxf>
    <dxf>
      <font>
        <b val="0"/>
        <i val="0"/>
        <strike val="0"/>
        <condense val="0"/>
        <extend val="0"/>
        <outline val="0"/>
        <shadow val="0"/>
        <u val="none"/>
        <vertAlign val="baseline"/>
        <sz val="10"/>
        <color rgb="FF000000"/>
        <name val="Calibri"/>
        <family val="2"/>
        <scheme val="none"/>
      </font>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0</xdr:row>
      <xdr:rowOff>0</xdr:rowOff>
    </xdr:from>
    <xdr:to>
      <xdr:col>3</xdr:col>
      <xdr:colOff>221397</xdr:colOff>
      <xdr:row>0</xdr:row>
      <xdr:rowOff>521804</xdr:rowOff>
    </xdr:to>
    <xdr:pic>
      <xdr:nvPicPr>
        <xdr:cNvPr id="2" name="Picture 1" descr="Adobe Systems">
          <a:extLst>
            <a:ext uri="{FF2B5EF4-FFF2-40B4-BE49-F238E27FC236}">
              <a16:creationId xmlns:a16="http://schemas.microsoft.com/office/drawing/2014/main" id="{9C83DF01-0530-4BCC-94AC-65198AA62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6" y="0"/>
          <a:ext cx="2406431" cy="521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10885</xdr:colOff>
      <xdr:row>0</xdr:row>
      <xdr:rowOff>1</xdr:rowOff>
    </xdr:from>
    <xdr:to>
      <xdr:col>5</xdr:col>
      <xdr:colOff>36682</xdr:colOff>
      <xdr:row>1</xdr:row>
      <xdr:rowOff>65315</xdr:rowOff>
    </xdr:to>
    <xdr:pic>
      <xdr:nvPicPr>
        <xdr:cNvPr id="2" name="Picture 1">
          <a:extLst>
            <a:ext uri="{FF2B5EF4-FFF2-40B4-BE49-F238E27FC236}">
              <a16:creationId xmlns:a16="http://schemas.microsoft.com/office/drawing/2014/main" id="{D5AA9301-FD1C-CD1E-0195-4F9F0CDEF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85" y="1"/>
          <a:ext cx="2213826" cy="66402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Shaikh" refreshedDate="46209.608051620373" createdVersion="8" refreshedVersion="8" minRefreshableVersion="3" recordCount="306" xr:uid="{8B921777-7768-41C9-A7CA-88006B51E33C}">
  <cacheSource type="worksheet">
    <worksheetSource name="Table134"/>
  </cacheSource>
  <cacheFields count="17">
    <cacheField name="S.N" numFmtId="0">
      <sharedItems containsSemiMixedTypes="0" containsString="0" containsNumber="1" containsInteger="1" minValue="1" maxValue="306"/>
    </cacheField>
    <cacheField name="Company" numFmtId="0">
      <sharedItems/>
    </cacheField>
    <cacheField name="Audit Year" numFmtId="0">
      <sharedItems containsSemiMixedTypes="0" containsString="0" containsNumber="1" containsInteger="1" minValue="2020" maxValue="2025"/>
    </cacheField>
    <cacheField name="Department" numFmtId="0">
      <sharedItems/>
    </cacheField>
    <cacheField name="Audit Cycle/ Department" numFmtId="0">
      <sharedItems/>
    </cacheField>
    <cacheField name="Observation Name" numFmtId="0">
      <sharedItems/>
    </cacheField>
    <cacheField name="Summary of Observation" numFmtId="0">
      <sharedItems longText="1"/>
    </cacheField>
    <cacheField name="Recommendations" numFmtId="0">
      <sharedItems longText="1"/>
    </cacheField>
    <cacheField name="Rating" numFmtId="0">
      <sharedItems/>
    </cacheField>
    <cacheField name="Observation type" numFmtId="0">
      <sharedItems/>
    </cacheField>
    <cacheField name="Action Owner" numFmtId="0">
      <sharedItems/>
    </cacheField>
    <cacheField name="Implementation Due Date" numFmtId="166">
      <sharedItems containsDate="1" containsMixedTypes="1" minDate="2020-11-12T00:00:00" maxDate="2026-07-01T00:00:00"/>
    </cacheField>
    <cacheField name="Revised Date (31/03/2026)" numFmtId="0">
      <sharedItems containsDate="1" containsBlank="1" containsMixedTypes="1" minDate="2024-07-31T00:00:00" maxDate="2026-07-01T00:00:00"/>
    </cacheField>
    <cacheField name="IA Status" numFmtId="0">
      <sharedItems/>
    </cacheField>
    <cacheField name="Aging since initial Implementation date" numFmtId="0">
      <sharedItems containsMixedTypes="1" containsNumber="1" containsInteger="1" minValue="0" maxValue="1764"/>
    </cacheField>
    <cacheField name="Aging for Open Due" numFmtId="0">
      <sharedItems/>
    </cacheField>
    <cacheField name="Management Respons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n v="1"/>
    <s v="BTC"/>
    <n v="2020"/>
    <s v="Used Cars"/>
    <s v="Used Cars Sales Follow-up Report"/>
    <s v="Absence of updated and approved policy &amp; procedures. "/>
    <s v="Absence of updated and approved policy &amp; procedures. "/>
    <s v="Updated policy &amp; procedures for governing the Used Cars Sales process should be developed and approved by the Board."/>
    <s v="Critical"/>
    <s v="Policies &amp; Procedures"/>
    <s v="Used Car Manager"/>
    <d v="2021-02-04T00:00:00"/>
    <m/>
    <s v="Closed"/>
    <s v="-"/>
    <s v="Closed"/>
    <s v="The policy and procedures have been developed and it is under the approval from the higher management"/>
  </r>
  <r>
    <n v="2"/>
    <s v="BTC"/>
    <n v="2020"/>
    <s v="Used Cars"/>
    <s v="Used Cars Sales Follow-up Report"/>
    <s v="No independent evaluation for Used Cars pricing."/>
    <s v="No independent evaluation for Used Cars pricing."/>
    <s v="Used cars ready for sale should be evaluated by an independent authority (such as Sheikh AlMared) in order to determine the minimum selling price."/>
    <s v="Critical"/>
    <s v="Operation"/>
    <s v="Used Car Manager"/>
    <d v="2021-02-04T00:00:00"/>
    <m/>
    <s v="Closed"/>
    <s v="-"/>
    <s v="Closed"/>
    <s v="Several cars were displayed at Al-Tameer Company (International Auction), which is a specialized company that organizes car auctions in its own yard, but the prices we received from them are less than expected and less than the value of the cars that the department sells directly to customers."/>
  </r>
  <r>
    <n v="3"/>
    <s v="BTC"/>
    <n v="2020"/>
    <s v="Used Cars"/>
    <s v="Used Cars Sales Follow-up Report"/>
    <s v="Absence of adequate procedures to communicate potential customers for used car auctions."/>
    <s v="Absence of adequate procedures to communicate potential customers for used car auctions."/>
    <s v="Customers should be notified through official channels such as company website, newspapers, emails and company social media platforms. Usage of WhatsApp application should be prohibited for such purposes. Following should be included in intimation;_x000a_1. List of cars to be sold with min. price for bidding_x000a_2. Last date for bidding and expected bid opening date_x000a_3. Minimum of 3 sealed bid is required to form sale committee"/>
    <s v="Critical"/>
    <s v="Policies &amp; Procedures"/>
    <s v="Used Car Manager"/>
    <d v="2021-02-04T00:00:00"/>
    <m/>
    <s v="Closed"/>
    <s v="-"/>
    <s v="Closed"/>
    <s v="The fastest and easiest way to communicate with customers is chosen to reach the largest segment of them (company account on Twitter - Facebook - direct e-mails to customers - Business WhatsApp) - and work is still in progress using commercial WhatsApp due to a large segment of customers requesting to communicate with them in this way for easy access to information and communication through it only to inform about auction to them"/>
  </r>
  <r>
    <n v="4"/>
    <s v="BTC"/>
    <n v="2020"/>
    <s v="Used Cars"/>
    <s v="Used Cars Sales Follow-up Report"/>
    <s v="Customer Quotations without sealed envelopes for bidding process."/>
    <s v="Customer Quotations without sealed envelopes for bidding process."/>
    <s v="Quotations should be obtained from companies by using sealed envelopes. These envelopes should be opened in the combined presence of all Used Car Committee members that is formally formed."/>
    <s v="Critical"/>
    <s v="Operation"/>
    <s v="Used Car Manager"/>
    <d v="2021-01-31T00:00:00"/>
    <m/>
    <s v="Closed"/>
    <s v="-"/>
    <s v="Closed"/>
    <s v="This issue will be discussed with the management and work on it. Target Date: 31-Jan-2021"/>
  </r>
  <r>
    <n v="5"/>
    <s v="BTC"/>
    <n v="2020"/>
    <s v="Used Cars"/>
    <s v="Used Cars Sales Follow-up Report"/>
    <s v="No Segregation of duties in place for UCS Sales process"/>
    <s v="No Segregation of duties in place for UCS Sales process"/>
    <s v="The CEO must form an independent formal Committee with minimum 3 members from different departments (Finance, Operations and Legal). Strictly ensure full attendance to open sealed envelope and select best price sales"/>
    <s v="Critical"/>
    <s v="Operation"/>
    <s v="Used Car Manager"/>
    <d v="2021-02-04T00:00:00"/>
    <m/>
    <s v="Closed"/>
    <s v="-"/>
    <s v="Closed"/>
    <s v="The session minutes mechanism is determined by the CEO"/>
  </r>
  <r>
    <n v="6"/>
    <s v="BTC"/>
    <n v="2020"/>
    <s v="Used Cars"/>
    <s v="Used Cars Sales Follow-up Report"/>
    <s v="Repeat participation (sales concentration) of 6 buyers for used cars during FY 2016 through FY 2019."/>
    <s v="Repeat participation (sales concentration) of 6 buyers for used cars during FY 2016 through FY 2019."/>
    <s v="It is recommended to set a maximum number of cars sold in each transaction (30 cars) and a maximum sale value (2 million SAR) in order to open the scope for new customers."/>
    <s v="Critical"/>
    <s v="Operation"/>
    <s v="Used Car Manager"/>
    <d v="2021-02-04T00:00:00"/>
    <m/>
    <s v="Closed"/>
    <s v="-"/>
    <s v="Closed"/>
    <s v="Due to the increase in the used vehicles inventory, the number of cars has been increased in each auction list with the knowledge of the management , and it is not possible to reach the required monthly target with this number of (30) cars for each auction list"/>
  </r>
  <r>
    <n v="7"/>
    <s v="BTC"/>
    <n v="2020"/>
    <s v="Used Cars"/>
    <s v="Used Cars Sales Follow-up Report"/>
    <s v="No arrangement with Group companies such as Autostar for display and selling of used cars from BTC."/>
    <s v="No arrangement with Group companies such as Autostar for display and selling of used cars from BTC."/>
    <s v="An arrangement should be made with Autostar for display and selling of used cars from BTC in order to enhance sale to individuals"/>
    <s v="Critical"/>
    <s v="Operation"/>
    <s v="Used Car Manager"/>
    <d v="2021-02-04T00:00:00"/>
    <m/>
    <s v="Closed"/>
    <s v="-"/>
    <s v="Closed"/>
    <s v="A contract has been made with Autostar dated 14/09/2020 for the display and selling of 557 units of used cars amounting to 57,701,000 SAR out of which 453 vehicles have been sold during 2020."/>
  </r>
  <r>
    <n v="8"/>
    <s v="BTC"/>
    <n v="2020"/>
    <s v="Used Cars"/>
    <s v="Used Cars Sales Follow-up Report"/>
    <s v="Inadequate documentations for sale transactions"/>
    <s v="Inadequate documentations for sale transactions"/>
    <s v="Used Car Sales Committee minutes, price offers received from customers and any other important documents should be filed and maintained for at least 5 years."/>
    <s v="Critical"/>
    <s v="Operation"/>
    <s v="Used Car Manager"/>
    <d v="2021-02-04T00:00:00"/>
    <m/>
    <s v="Closed"/>
    <s v="-"/>
    <s v="Closed"/>
    <s v="All documents related to the sale process are kept starting from the list of cars prepared for auction, price offers submitted by customers, approval of the sale approved by the management, payment, invoices, delivery note and the sale contract."/>
  </r>
  <r>
    <n v="9"/>
    <s v="BTC"/>
    <n v="2020"/>
    <s v="Business Development"/>
    <s v="Spot Rental Agreements Report"/>
    <s v="Back-date closing of Spot Agreements"/>
    <s v="8 Spot rental agreements were identified as Closed in back dates resulting manipulation of 412 rental days amounting to SR 45,506 of rental losses"/>
    <s v="System controls/restrictions and necessary enhancements in CarPro to be  configured to avoid such incidents in future._x000a_Disciplinary actions against the involved employees must be taken by the Management._x000a_Subsequent recovery of rental loss amounts from relevant employees to be made."/>
    <s v="Critical"/>
    <s v="Operation"/>
    <s v="Head-Business Development"/>
    <d v="2020-11-12T00:00:00"/>
    <m/>
    <s v="Closed"/>
    <s v="-"/>
    <s v="Closed"/>
    <s v="Appropriate actions were taken by the Management as per audit recommendations"/>
  </r>
  <r>
    <n v="10"/>
    <s v="BTC"/>
    <n v="2020"/>
    <s v="Business Development"/>
    <s v="Year-end Vehicle Stock Count"/>
    <s v="There is no documented instructions given to the Exit 18 branch personnel upon maintenance of stock "/>
    <s v="There is no documented instructions given to the Exit 18 branch personnel upon maintenance of stock "/>
    <s v="Management should develop stock maintenance instructions and disseminate to all related personnel to ensure consistent and effective operations."/>
    <s v="Medium"/>
    <s v="Operation"/>
    <s v="Head-Business Development"/>
    <d v="2021-03-31T00:00:00"/>
    <m/>
    <s v="Closed"/>
    <s v="-"/>
    <s v="Closed"/>
    <s v="We will prepare and submit the Exit 18 instruction documents duly approved by management as per agreed timeframe."/>
  </r>
  <r>
    <n v="11"/>
    <s v="BTC"/>
    <n v="2020"/>
    <s v="Business Development"/>
    <s v="Year-end Vehicle Stock Count"/>
    <s v="There is no documented policies or practices followed to perform recurring cycle count process "/>
    <s v="There is no documented policies or practices followed to perform recurring cycle count process "/>
    <s v="Warehouse department must define policies and procedures for all its activities performed at Warehouse locations."/>
    <s v="High"/>
    <s v="Policies &amp; Procedures"/>
    <s v="Head-Business Development"/>
    <d v="2021-03-31T00:00:00"/>
    <m/>
    <s v="Closed"/>
    <s v="-"/>
    <s v="Closed"/>
    <s v="We will prepare procedures for periodic vehicle physical count which will be performed by the operation team on periodic basis"/>
  </r>
  <r>
    <n v="12"/>
    <s v="BTC"/>
    <n v="2020"/>
    <s v="Business Development"/>
    <s v="Year-end Vehicle Stock Count"/>
    <s v="UPS backup not available in the Exit 18 branch"/>
    <s v="UPS backup not available in the Exit 18 branch"/>
    <s v="Management should ensure that frequency &amp; timelines to be defined and adhered for physical count on periodic basis."/>
    <s v="Medium"/>
    <s v="Operation"/>
    <s v="Head-Business Development"/>
    <d v="2021-04-30T00:00:00"/>
    <m/>
    <s v="Closed"/>
    <s v="-"/>
    <s v="Closed"/>
    <s v="Contract for Exit 18 Branch will be expiring shortly and we are in search of new facility with all necessary amenities. However, in case we continue the same then will coordinate with facility for said requirement"/>
  </r>
  <r>
    <n v="13"/>
    <s v="BTC"/>
    <n v="2020"/>
    <s v="Business Development"/>
    <s v="Year-end Vehicle Stock Count"/>
    <s v="No Emergency lights available at the branch"/>
    <s v="No Emergency lights available at the branch"/>
    <s v="Management must facilitate the Exit 18 Lease branch with uninterrupted power supply by setting up power backup systems to ensure smooth functioning of operations."/>
    <s v="Medium"/>
    <s v="Operation"/>
    <s v="Head-Business Development"/>
    <d v="2021-01-31T00:00:00"/>
    <m/>
    <s v="Closed"/>
    <s v="-"/>
    <s v="Closed"/>
    <s v="We have installed Emergency lights in the Exit 18 Branch and is functional now"/>
  </r>
  <r>
    <n v="14"/>
    <s v="BTC"/>
    <n v="2020"/>
    <s v="Business Development"/>
    <s v="Year-end Vehicle Stock Count"/>
    <s v="There were no suitable vehicle stocks maintained at Exit 18 branch for replacements to customers and no replacement policy in place"/>
    <s v="There were no suitable vehicle stocks maintained at Exit 18 branch for replacements to customers and no replacement policy in place"/>
    <s v="Management should ensure that adequate vehicles must be available in standby for replacements against repair &amp; maintenance of customer vehicles."/>
    <s v="Medium"/>
    <s v="Operation"/>
    <s v="Head-Business Development"/>
    <d v="2021-02-28T00:00:00"/>
    <m/>
    <s v="Closed"/>
    <s v="-"/>
    <s v="Closed"/>
    <s v="We will update the system status of vehicles on a real-time basis while transferring from Exit -18 to Janadriyah yard (operations)"/>
  </r>
  <r>
    <n v="15"/>
    <s v="BTC"/>
    <n v="2020"/>
    <s v="Business Development"/>
    <s v="Year-end Vehicle Stock Count"/>
    <s v="Non-availability of proper storage cabinets for vehicle keys and documentations."/>
    <s v="Non-availability of proper storage cabinets for vehicle keys and documentations."/>
    <s v="Management should installed key cabinets and filling cupboards for safe keeping of vehicle keys and warehouse documents respectively."/>
    <s v="High"/>
    <s v="Operation"/>
    <s v="Head-Business Development"/>
    <d v="2021-02-28T00:00:00"/>
    <m/>
    <s v="Closed"/>
    <s v="-"/>
    <s v="Closed"/>
    <s v="We have segregated all vehicle keys by client wise and stored in cabinets installed in a separate room"/>
  </r>
  <r>
    <n v="16"/>
    <s v="BTC"/>
    <n v="2020"/>
    <s v="Business Development"/>
    <s v="Year-end Vehicle Stock Count"/>
    <s v="It was observed that there were no Security Guards available in Exit 18 branch"/>
    <s v="It was observed that there were no Security Guards available in Exit 18 branch"/>
    <s v="Security Guards must be hired to protect company’s property and staff by maintaining a safe and secure environment."/>
    <s v="Medium"/>
    <s v="Operation"/>
    <s v="Head-Business Development"/>
    <d v="2021-02-28T00:00:00"/>
    <m/>
    <s v="Closed"/>
    <s v="-"/>
    <s v="Closed"/>
    <s v="We will coordinate with Facility dept. to check the feasibility of hiring security guards for Exit 18 branch"/>
  </r>
  <r>
    <n v="17"/>
    <s v="BTC"/>
    <n v="2020"/>
    <s v="Used Cars"/>
    <s v="Year-end Vehicle Stock Count"/>
    <s v="There is no documented instructions given to the warehouse personnel upon maintenance of stock "/>
    <s v="There is no documented instructions given to the warehouse personnel upon maintenance of stock "/>
    <s v="Management should develop stock maintenance instructions and disseminate to all related personnel to ensure consistent and effective operations."/>
    <s v="Medium"/>
    <s v="Operation"/>
    <s v="Used Car Manager"/>
    <d v="2021-02-28T00:00:00"/>
    <m/>
    <s v="Closed"/>
    <s v="-"/>
    <s v="Closed"/>
    <s v="We will prepare and submit the warehouse instruction documents duly approved by management as per agreed timeframe."/>
  </r>
  <r>
    <n v="18"/>
    <s v="BTC"/>
    <n v="2020"/>
    <s v="Used Cars"/>
    <s v="Year-end Vehicle Stock Count"/>
    <s v="UPS backup not available in the warehouse"/>
    <s v="UPS backup not available in the warehouse"/>
    <s v="Management must facilitate the warehouse facility with uninterrupted power supply by setting up power backup systems to ensure smooth functioning of operations."/>
    <s v="Medium"/>
    <s v="Operation"/>
    <s v="Used Car Manager"/>
    <d v="2021-02-28T00:00:00"/>
    <m/>
    <s v="Closed"/>
    <s v="-"/>
    <s v="Closed"/>
    <s v="We will coordinate with Facility dept. for adequate electricity backup if feasible"/>
  </r>
  <r>
    <n v="19"/>
    <s v="BTC"/>
    <n v="2020"/>
    <s v="Used Cars"/>
    <s v="Year-end Vehicle Stock Count"/>
    <s v="No system connectivity available to update the vehicle movement (Inward/Outward) in warehouse"/>
    <s v="No system connectivity available to update the vehicle movement (Inward/Outward) in warehouse"/>
    <s v="Management must equip the warehouse with system connectivity by providing access to CarPro (Operation module)_x000a_All vehicle movements like Inward &amp; Outward must be recorded simultaneously along with physical movements"/>
    <s v="High"/>
    <s v="Operation"/>
    <s v="Used Car Manager"/>
    <d v="2021-02-28T00:00:00"/>
    <m/>
    <s v="Closed"/>
    <s v="-"/>
    <s v="Closed"/>
    <s v="There is a daily status of  the used car Inventory and it is matched between actual inventory with CarPro by Head office UCS dept. However, we will discuss the feasibility &amp; productivity of providing system access to warehouse"/>
  </r>
  <r>
    <n v="20"/>
    <s v="BTC"/>
    <n v="2020"/>
    <s v="Used Cars"/>
    <s v="Year-end Vehicle Stock Count"/>
    <s v="Non-availability of proper storage cabinets for vehicle keys and documentations."/>
    <s v="Non-availability of proper storage cabinets for vehicle keys and documentations."/>
    <s v="Management should installed key cabinets and filling cupboards for safe keeping of vehicle keys and warehouse documents respectively."/>
    <s v="High"/>
    <s v="Operation"/>
    <s v="Used Car Manager"/>
    <d v="2021-02-28T00:00:00"/>
    <m/>
    <s v="Closed"/>
    <s v="-"/>
    <s v="Closed"/>
    <s v="We will coordinate with Facility dept. to provide storage cabinets for safekeeping of vehicle keys"/>
  </r>
  <r>
    <n v="21"/>
    <s v="BTC"/>
    <n v="2020"/>
    <s v="Used Cars"/>
    <s v="Year-end Vehicle Stock Count"/>
    <s v="It was observed that there were no Fire systems and CCTVs monitoring available in Janadriyah yard"/>
    <s v="It was observed that there were no Fire systems and CCTVs monitoring available in Janadriyah yard"/>
    <s v="CCTV cameras, smoke detectors, security alarms systems and Electricity backups must be installed and regularly checked to ensure they are in working order, readily accessible and faults, if any, are reported and dealt with accordingly."/>
    <s v="High"/>
    <s v="Operation"/>
    <s v="Used Car Manager"/>
    <d v="2021-02-28T00:00:00"/>
    <m/>
    <s v="Closed"/>
    <s v="-"/>
    <s v="Closed"/>
    <s v="We will coordinate with Facility dept. to provide CCTV monitoring and fire systems."/>
  </r>
  <r>
    <n v="22"/>
    <s v="BTC"/>
    <n v="2020"/>
    <s v="Used Cars"/>
    <s v="Year-end Vehicle Stock Count"/>
    <s v="No perpetual stock count being performed by warehouse"/>
    <s v="No perpetual stock count being performed by warehouse"/>
    <s v="Management should define procedures for perpetual inventories and ensure adherences._x000a_Periodic reviews to be conducted from Used Car Department to ensure process being followed."/>
    <s v="High"/>
    <s v="Operation"/>
    <s v="Used Car Manager"/>
    <d v="2021-02-28T00:00:00"/>
    <m/>
    <s v="Closed"/>
    <s v="-"/>
    <s v="Closed"/>
    <s v="We will instruct the warehouse in-charge to perform perpetual inventory on weekly basis."/>
  </r>
  <r>
    <n v="23"/>
    <s v="BTC"/>
    <n v="2020"/>
    <s v="Used Cars"/>
    <s v="Year-end Vehicle Stock Count"/>
    <s v="It was observed that there was no systematic arrangement of vehicles by Bay numbers linked to location."/>
    <s v="It was observed that there was no systematic arrangement of vehicles by Bay numbers linked to location."/>
    <s v="Due to high volume of vehicles parked in the Janadriyah yard, it is highly recommended to organize vehicles through systematic arrangement like introducing Bay numbers &amp; locations linked to Make, Model, status, etc. _x000a_Designated locations for vehicles to be formed within warehouse with special type &amp; categories."/>
    <s v="Medium"/>
    <s v="Operation"/>
    <s v="Used Car Manager"/>
    <d v="2021-02-28T00:00:00"/>
    <m/>
    <s v="Closed"/>
    <s v="-"/>
    <s v="Closed"/>
    <s v="We will coordinate with Facility dept. to make necessary arrangement in warehouse as recommended."/>
  </r>
  <r>
    <n v="24"/>
    <s v="BTC"/>
    <n v="2020"/>
    <s v="Maintenance"/>
    <s v="Year-end Vehicle Stock Count"/>
    <s v="Shortages and Excesses of Spare Parts or Materials have been identified"/>
    <s v="Shortages and Excesses of Spare Parts or Materials have been identified"/>
    <s v="Management should ensure that proper tracking mechanism of Inward/Outward of all materials to be maintained._x000a_ Management should ensure all shortages/excesses highlighted to be identified on priority &amp; reconciled with system stocks."/>
    <s v="High"/>
    <s v="Operation"/>
    <s v="Maintenance Manager"/>
    <d v="2021-02-28T00:00:00"/>
    <m/>
    <s v="Closed"/>
    <s v="-"/>
    <s v="Closed"/>
    <s v="We are reconciling all shortages and excesses along with Finance year end count and will update the status within agreed timeframe"/>
  </r>
  <r>
    <n v="25"/>
    <s v="BTC"/>
    <n v="2020"/>
    <s v="Maintenance"/>
    <s v="Year-end Vehicle Stock Count"/>
    <s v="There is no documented instructions given to the Workshop personnel upon maintenance of stock "/>
    <s v="There is no documented instructions given to the Workshop personnel upon maintenance of stock "/>
    <s v="Management should develop stock maintenance instructions and disseminate to all related personnel to ensure consistent and effective operations."/>
    <s v="Medium"/>
    <s v="Policies &amp; Procedures"/>
    <s v="Maintenance Manager"/>
    <d v="2021-04-30T00:00:00"/>
    <m/>
    <s v="Closed"/>
    <s v="-"/>
    <s v="Closed"/>
    <s v="Currently we have only tires and batteries in small amount. We are planning to have a warehouse upon opening our new workshop, once we open this then we can arrange written instructions."/>
  </r>
  <r>
    <n v="26"/>
    <s v="BTC"/>
    <n v="2020"/>
    <s v="Maintenance"/>
    <s v="Year-end Vehicle Stock Count"/>
    <s v="UPS backup not available in the workshop"/>
    <s v="UPS backup not available in the workshop"/>
    <s v="Management must facilitate the workshop facility with uninterrupted power supply by setting up power backup systems to ensure smooth functioning of operations."/>
    <s v="Medium"/>
    <s v="Operation"/>
    <s v="Maintenance Manager"/>
    <d v="2021-03-25T00:00:00"/>
    <m/>
    <s v="Closed"/>
    <s v="-"/>
    <s v="Closed"/>
    <s v="We will coordinate with Facility dept. for adequate electricity backup if feasible"/>
  </r>
  <r>
    <n v="27"/>
    <s v="BTC"/>
    <n v="2020"/>
    <s v="Maintenance"/>
    <s v="Year-end Vehicle Stock Count"/>
    <s v="There is no documented policies or practices followed to perform recurring cycle count process "/>
    <s v="There is no documented policies or practices followed to perform recurring cycle count process "/>
    <s v="Maintenance department must define policies and procedures for all its activities performed at Workshop locations._x000a_Management should ensure that frequency &amp; timelines to be defined and adhered for physical count on periodic basis."/>
    <s v="High"/>
    <s v="Policies &amp; Procedures"/>
    <s v="Maintenance Manager"/>
    <d v="2021-04-30T00:00:00"/>
    <m/>
    <s v="Closed"/>
    <s v="-"/>
    <s v="Closed"/>
    <s v="We will make procedure to count physically on a monthly basis once we open our new workshop and have our warehouse"/>
  </r>
  <r>
    <n v="28"/>
    <s v="BTC"/>
    <n v="2020"/>
    <s v="Maintenance"/>
    <s v="Year-end Vehicle Stock Count"/>
    <s v="Non-availability of proper storage cabinets for vehicle keys and documentations."/>
    <s v="Non-availability of proper storage cabinets for vehicle keys and documentations."/>
    <s v="Management should installed key cabinets and filling cupboards for safe keeping of vehicle keys and warehouse documents respectively."/>
    <s v="High"/>
    <s v="Operation"/>
    <s v="Maintenance Manager"/>
    <d v="2021-04-30T00:00:00"/>
    <m/>
    <s v="Closed"/>
    <s v="-"/>
    <s v="Closed"/>
    <s v="We will arrange once we open our new workshop and have our warehouse."/>
  </r>
  <r>
    <n v="29"/>
    <s v="BTC"/>
    <n v="2020"/>
    <s v="Maintenance"/>
    <s v="Year-end Vehicle Stock Count"/>
    <s v="No Emergency lights available at the Workshop facility"/>
    <s v="No Emergency lights available at the Workshop facility"/>
    <s v="Management must facilitate the Riyadh Workshop with emergency lighting system  which can be functional during power failures"/>
    <s v="Medium"/>
    <s v="Operation"/>
    <s v="Maintenance Manager"/>
    <d v="2021-03-25T00:00:00"/>
    <m/>
    <s v="Closed"/>
    <s v="-"/>
    <s v="Closed"/>
    <s v="We will coordinate with Facility dept. to install emergency lights at workshop"/>
  </r>
  <r>
    <n v="30"/>
    <s v="BTC"/>
    <n v="2021"/>
    <s v="Projects"/>
    <s v="Project Business"/>
    <s v="Absence of Investment Governance"/>
    <s v="The total investment in current running contracts is around SAR. 298 million. During our review, we noted that preliminary planning for the projects, pricing and bidding lacks the followings:_x000a_ Business plan/strategy;_x000a_ SWOT Analysis;_x000a_ Investment approval as per authority matrix;_x000a_ Exit strategy."/>
    <s v="At the time of planning for any new project requiring significant investment, management should prepare and approve as per authority matrix the followings:_x000a_Business plan/strategy;_x000a_SWOT Analysis, Exit strategy;_x000a_Investment approval."/>
    <s v="High"/>
    <s v="Policies &amp; Procedures"/>
    <s v="CEO"/>
    <d v="2021-08-31T00:00:00"/>
    <m/>
    <s v="Closed"/>
    <s v="-"/>
    <s v="Closed"/>
    <s v="There is a tender committee at Head Office for new projects/contracts, which analyzes, prepares &amp; provides all the information and or strategies required for any new contract(s)"/>
  </r>
  <r>
    <n v="31"/>
    <s v="BTC"/>
    <n v="2021"/>
    <s v="Projects"/>
    <s v="Project Business"/>
    <s v="Absence of approved Policies and Procedures for the Project"/>
    <s v="we noted that project charter, comprehensive and approved policies and procedures covering all functions/sub processes of the project operations are not in place. Such policies may include (but are not limited to) areas relating to:_x000a_ Pricing, Invoicing and client service_x000a_ Replacements_x000a_ Fleet control/transfers_x000a_ Maintenance_x000a_ Manpower_x000a_ Administration and Govt. affairs_x000a_ Complaint handling._x000a_ Transfer pricing"/>
    <s v="Comprehensive policies and procedures manual should be developed, approved, implemented and updated on periodic basis."/>
    <s v="High"/>
    <s v="Policies &amp; Procedures"/>
    <s v="Project Manager,_x000a_Organization Support"/>
    <d v="2021-08-31T00:00:00"/>
    <m/>
    <s v="Closed"/>
    <s v="-"/>
    <s v="Closed"/>
    <s v="- All operational processes are handled in the project site in accordance with the set general contract conditions between the Chevron and contractors, including labor, transportation, maintenance, forms for quarterly performance evaluations. However, management will develop specific operational related policies and procedures for project that should be in line with the contract and head office policies._x000a_- Other policies, such as project pricing needs to be developed as part of the BTC head office policies."/>
  </r>
  <r>
    <n v="32"/>
    <s v="BTC"/>
    <n v="2021"/>
    <s v="Projects"/>
    <s v="Project Business"/>
    <s v="Violation of approved Authority Matrix"/>
    <s v="During our review of purchases executed for Khafji project, we noted that certain POs are not approved as per requirements of Authority matrix"/>
    <s v="Management must comply approval requirements as per Authority matrix."/>
    <s v="High"/>
    <s v="Authority Matrix"/>
    <s v="Procurement Manager"/>
    <d v="2021-07-31T00:00:00"/>
    <m/>
    <s v="Closed"/>
    <s v="-"/>
    <s v="Closed"/>
    <s v="The deviation stated by IA is a one-time occurrence during the previous management. Current management is Appling authority matrix with due care and all actions shall be in accordance with the Authority Matrix."/>
  </r>
  <r>
    <n v="33"/>
    <s v="BTC"/>
    <n v="2021"/>
    <s v="Projects"/>
    <s v="Project Business"/>
    <s v="Absence of approved Organization structure, Job Descriptions and KPIs."/>
    <s v="1. During our review, we noted that organizational structure for the projects provided to us is not approved as per current authority matrix._x000a_2. Job description for the key projects employees is not approved as per current authority matrix and there is no succession planning for key employees._x000a_3. No KPIs are defined, approved and communicated to key employees of the projects."/>
    <s v="Management should prepare the followings, get it approved as per authority matrix, and communicate it to the staff:_x000a_ Organization structure showing clear reporting lines;_x000a_ Job description, succession plan and KPI for key employees."/>
    <s v="High"/>
    <s v="Org. structur, JD &amp; KPI's"/>
    <s v="COO &amp; CEO"/>
    <d v="2021-07-31T00:00:00"/>
    <m/>
    <s v="Closed"/>
    <s v="-"/>
    <s v="Closed"/>
    <s v="Recently, BTC have approved a new Organization Chart, Including Projects. As for Job Descriptions, please refer to the attached JD for Khafji and Kuwait Project Manager, including his KPIs._x000a_Additional JDs for 1st line of projects manager reporting function, Project organizational chart and succession plan shall be created and provided to IA accordingly."/>
  </r>
  <r>
    <n v="34"/>
    <s v="BTC"/>
    <n v="2021"/>
    <s v="Projects"/>
    <s v="Project Business"/>
    <s v="Absence of performance monitoring of the Project"/>
    <s v="We noted that there is inadequate performance management mechanism and reporting for the project. The following important reports are not prepared and submitted to management for periodic review of the project performance._x000a_1. Budgets and variance analysis;_x000a_2. Monthly /quarterly Profit and loss of project"/>
    <s v="Periodic performance monitoring reports for the projects must be prepared and submitted for management review and actions."/>
    <s v="High"/>
    <s v="Policies &amp; Procedures"/>
    <s v="Finance Manager"/>
    <d v="2021-08-31T00:00:00"/>
    <m/>
    <s v="Closed"/>
    <s v="-"/>
    <s v="Closed"/>
    <s v="Finance shall furnish P&amp;L report and variance analysis for each Line of Business and segment on quarterly/monthly basis, including projects."/>
  </r>
  <r>
    <n v="35"/>
    <s v="BTC"/>
    <n v="2021"/>
    <s v="Projects"/>
    <s v="Project Business"/>
    <s v="Absence of Petty Cash Governance"/>
    <s v="1. Absence of Petty Cash Approval_x000a_2. Excessive petty cash limits_x000a_3. High value expenses paid through petty cash_x000a_4. Absence of standard Permitted Petty Cash Expenses"/>
    <s v="Management should develop a comprehensive petty cash policy establishing minimum and maximum petty cash limits, authorization process, permitted expenses and it must be approved as per authority matrix and applied accordingly."/>
    <s v="High"/>
    <s v="Policies &amp; Procedures"/>
    <s v="Finance Manager"/>
    <d v="2021-08-31T00:00:00"/>
    <m/>
    <s v="Closed"/>
    <s v="-"/>
    <s v="Closed"/>
    <s v="Overall BTC policies in Head Office is applicable for the Projects. However, there are certain unique situations where exceptions are needed and a specific Project petty cash policy will be developed keeping in mind the project requirements and it will be approved and applied as per authority matrix."/>
  </r>
  <r>
    <n v="36"/>
    <s v="BTC"/>
    <n v="2021"/>
    <s v="Projects"/>
    <s v="Project Business"/>
    <s v="Irregularities identified in Project related expenses"/>
    <s v="Internal audit has reviewed Petty Cash Invoices for Projects on sample basis (50 vouchers) amounting around SAR. 1.4 million for the year 2020 and observed like;_x000a_1. Comparitive quotes not obtained_x000a_2. Original invoices are not attached, scanned copies attached._x000a_3. No Prior Maintenance approval from Maintenance dept._x000a_4. Payment receipt not attached with vouchers_x000a_5. Inadequate supporting documents_x000a_6. Incorrect payment descriptions mentioned while recording accounting entries"/>
    <s v="Management must ensure that the above identified gaps should be covered with adequate documentation"/>
    <s v="Medium"/>
    <s v="Operation"/>
    <s v="Finance Manager_x000a_&amp; _x000a_Organization Support Manager"/>
    <d v="2021-08-31T00:00:00"/>
    <m/>
    <s v="Closed"/>
    <s v="-"/>
    <s v="Closed"/>
    <s v="Petty Cash and procurement policies/process shall be reviewed and updated, see Item 6."/>
  </r>
  <r>
    <n v="37"/>
    <s v="BTC"/>
    <n v="2021"/>
    <s v="Projects"/>
    <s v="Project Business"/>
    <s v="Absence of Pricing Strategy and Discount Approval"/>
    <s v="There is absence of comprehensive pricing strategy and in month of May 2020 there is a discount of 20% allowed to Wafra project after negotiation (due to delay in providing the new vehicles as per contract in Covid 19 situation), but no approval as per authority matrix is obtained prior to allowing discount. The approval for discount is obtained from Chairman BOD on March 28, 2021 after the audit query was raised."/>
    <s v="Management must develop a comprehensive pricing strategy that should include the detail procedure of discount allowed and approval requirements."/>
    <s v="High"/>
    <s v="Policies &amp; Procedures"/>
    <s v="Business Development Manager"/>
    <d v="2021-08-31T00:00:00"/>
    <d v="2025-12-31T00:00:00"/>
    <s v="Closed"/>
    <s v="-"/>
    <s v="Closed"/>
    <s v="This action was approved by the Chairman and it avoided more severe and costly penalties due to COVID situation. However, in future management will obtained the prior written approval for any discount allowed._x000a_Comprehensive pricing policy covering detail procedures for discounts is in progress that will be approved and implemented accordingly."/>
  </r>
  <r>
    <n v="38"/>
    <s v="BTC"/>
    <n v="2021"/>
    <s v="Projects"/>
    <s v="Project Business"/>
    <s v="Noncompliance with labor law"/>
    <s v="During our review, it was noted that cash salaries have been processed for certain project employees who are not under sponsorship of BTC. Most of the employees are hired in 2015-2016_x000a_but their sponsorship is not transferred yet."/>
    <s v="Sponsorship of employees should be changed in a predefined time_x000a_limit from joining date, and Salaries should be transferred in the_x000a_relevant bank accounts of the employees."/>
    <s v="High"/>
    <s v="Operation"/>
    <s v="Project Manager"/>
    <d v="2021-08-31T00:00:00"/>
    <m/>
    <s v="Closed"/>
    <s v="-"/>
    <s v="Closed"/>
    <s v="One instance where there were no permits for certain number of staff on one location. It was a business decision to avoid large financial losses to the Company."/>
  </r>
  <r>
    <n v="39"/>
    <s v="BTC"/>
    <n v="2021"/>
    <s v="Projects"/>
    <s v="Project Business"/>
    <s v="Manual invoicing of projects"/>
    <s v="All the Project related invoices are generated manually instead of using system invoicing through CarPro._x000a_Further complementary vehicles with zero rent value were not shown on the monthly invoices that will hinder us to verify the physical inventory of the vehicles with client."/>
    <s v="Project invoicing should be automated through Car pro and also showing the complementary vehicles with zero value."/>
    <s v="Medium"/>
    <s v="System &amp; Application"/>
    <s v="Project Manager"/>
    <d v="2021-08-31T00:00:00"/>
    <d v="2025-12-31T00:00:00"/>
    <s v="Open Due"/>
    <n v="1764"/>
    <s v="More than 2 Years"/>
    <s v="There was no such “complementary vehicles” for the project, these are considered as Replacement vehicles as per contract terms which is equivalent to 10% of the assigned vehicles to be charged to client on monthly basis._x000a_There is no option to print invoices for projects in CarPro. We shall raise a request with IT to fix this issue."/>
  </r>
  <r>
    <n v="40"/>
    <s v="BTC"/>
    <n v="2021"/>
    <s v="Compliance"/>
    <s v="Compliance"/>
    <s v="Inadequate Compliance Plan for FY 2021 "/>
    <s v="1._x0009_Department has an approved compliance plan for the year 2021 however, plan is not comprehensive with following shortfalls: _x000a_•_x0009_Resources required and allocated along with man days required_x000a_•_x0009_Consumer Compliant handling process audit as per section # 8 of compliance policy and procedures_x000a_•_x0009_Regional offices related plan/calendar._x000a_Also, we noted that compliance department did not have approved compliance plan for FY 2020."/>
    <s v="•_x0009_Department should ensure to develop mechanism for yearly planning activity._x000a_•_x0009_Compliance plan should include but not limited to aforementioned shortcomings"/>
    <s v="High"/>
    <s v="Policies &amp; Procedures"/>
    <s v="Compliance Head"/>
    <d v="2021-12-31T00:00:00"/>
    <d v="2024-07-31T00:00:00"/>
    <s v="Closed"/>
    <s v="-"/>
    <s v="Closed"/>
    <s v="There was no compliance plan in 2020, but it was prepared and approved for the year 2021. _x000a_Further, special assignment to perform customer complain handling audit is removed in the new manual and resultantly not the part of compliance plan.  Resource plan and regional offices compliance audit will be included in next year plan 2022."/>
  </r>
  <r>
    <n v="41"/>
    <s v="BTC"/>
    <n v="2021"/>
    <s v="Compliance"/>
    <s v="Compliance"/>
    <s v="Absence of Approved Compliance Framework."/>
    <s v="During our review, we noted that there is no approved compliance framework is in place._x000a_Compliance frame work is a comprehensive document should at least cover but not limited to the followings:_x000a_•_x0009_Overall compliance department approach and scope;_x000a_•_x0009_Roles and responsibilities of department;_x000a_•_x0009_Compliance culture, awareness and monitoring;_x000a_•_x0009_Structure and reporting lines of the department;_x000a_•_x0009_compliance universe_x000a_•_x0009_Compliance KPIs."/>
    <s v="Department should have an approved Compliance framework and apply it accordingly."/>
    <s v="High"/>
    <s v="Policies &amp; Procedures"/>
    <s v="Compliance Head"/>
    <d v="2021-12-31T00:00:00"/>
    <m/>
    <s v="Closed"/>
    <s v="-"/>
    <s v="Closed"/>
    <s v="Department will prepare a comprehensive compliance frame work including the aforementioned areas and get it approved from compliance committee."/>
  </r>
  <r>
    <n v="42"/>
    <s v="BTC"/>
    <n v="2021"/>
    <s v="Compliance"/>
    <s v="Compliance"/>
    <s v="Outdated Compliance Policy and Procedures."/>
    <s v="Compliance Department policy and procedures Version 1.0 approved in Feb. 2019 and applied accordingly, states that the policy and procedures will be revised and updated in first quarter 2021 as mentioned below that was yet not completed and approved._x000a_ _x000a_During our review of existing approved version, we noted the following areas/processes are not covered in policy and procedures:_x000a_•_x0009_Procedures to Communicate and monitor new rules and regulations and their follow ups process._x000a_•_x0009_Departmental self-assessment._x000a_•_x0009_Maintenance and update of Repository of applicable law/regulations or compliance register._x000a_•_x0009_Staff training and development._x000a_•_x0009_Communication procedures with regulators and departments._x000a_•_x0009_Compliance champion, his/her role and responsibility_x000a_•_x0009_Investigation procedures, root cause analysis and remedial action for any regulatory breach._x000a_•_x0009_Approval procedures for delay/non submission of regulatory reports_x000a_•_x0009_Procedures to track and monitor timeliness for regulatory reports submissions._x000a_•_x0009_Data retention policy as per applicable law_x000a_procedure for periodic Gap analysis i.e. between laws/rules/regulations and current practice"/>
    <s v="Department should revise and update policy and procedures in periodic manner. Also, to include the aforementioned areas during update."/>
    <s v="High"/>
    <s v="Policies &amp; Procedures"/>
    <s v="Compliance Head"/>
    <d v="2021-12-31T00:00:00"/>
    <m/>
    <s v="Closed"/>
    <s v="-"/>
    <s v="Closed"/>
    <s v="Department will update and prepare comprehensive compliance policy and procedures including the aforementioned areas and get it approved from compliance committee."/>
  </r>
  <r>
    <n v="43"/>
    <s v="BTC"/>
    <n v="2021"/>
    <s v="Compliance"/>
    <s v="Compliance"/>
    <s v="Absence of Comprehensive Compliance Register/ Repository"/>
    <s v="During our review, we noted that repository of applicable laws/regulations/circulars is not comprehensive and not covering following mentioned applicable circulars and its requirements._x000a_•_x0009_Linking to electronic portal/systems for opening rent agreement with client, specified by the Authority (Ministry of Transportation &amp; Logistics services no. 1/41/120).  _x000a_•_x0009_Regulations related to consumer rights &amp; protection."/>
    <s v="Management should develop mechanism to ensure coverage of all applicable rules and regulations."/>
    <s v="High"/>
    <s v="Policies &amp; Procedures"/>
    <s v="Compliance Head"/>
    <d v="2021-12-31T00:00:00"/>
    <m/>
    <s v="Closed"/>
    <s v="-"/>
    <s v="Closed"/>
    <s v="Management will update the repository of applicable regulations/compliance register."/>
  </r>
  <r>
    <n v="44"/>
    <s v="BTC"/>
    <n v="2021"/>
    <s v="Compliance"/>
    <s v="Compliance"/>
    <s v="Inadequate Mechanism for Communicating New Regulations / Circular in Timely Manner"/>
    <s v="During audit, we noted that there is a delay in communicating the new regulations/circulars to the relevant departments._x000a_Below are the instances:_x000a__x000a_ "/>
    <s v="Department should develop mechanism and / or tools of communication to relevant department for any new regulation/circular for timely compliance."/>
    <s v="High"/>
    <s v="Policies &amp; Procedures"/>
    <s v="Compliance Head"/>
    <d v="2021-12-31T00:00:00"/>
    <d v="2024-07-31T00:00:00"/>
    <s v="Closed"/>
    <s v="-"/>
    <s v="Closed"/>
    <s v="Department will implement the above recommendation to communicate new regulations/circulars on timely manner."/>
  </r>
  <r>
    <n v="45"/>
    <s v="BTC"/>
    <n v="2021"/>
    <s v="Compliance"/>
    <s v="Compliance"/>
    <s v="Absence of Approved Organizational Structure, Job Description, KPIs of Compliance Staff."/>
    <s v="1._x0009_During our review, we noted that organizational structure for the compliance department is not available._x000a_2._x0009_Job description for the department employees is not prepared approved and communicated to employees._x000a_No staff KPIs are defined, approved and communicated to employees. "/>
    <s v="Management should prepare the followings, get it approved as per authority matrix, and communicate it to the staff:_x000a_•_x0009_Organization structure showing clear reporting lines;_x000a_•_x0009_Job description, succession plan and KPI for employees"/>
    <s v="Medium"/>
    <s v="Org. structur, JD &amp; KPI's"/>
    <s v="Compliance Head"/>
    <d v="2021-12-31T00:00:00"/>
    <m/>
    <s v="Closed"/>
    <s v="-"/>
    <s v="Closed"/>
    <s v="Department management will coordinate with HR department to prepare and finalize the organizational structure of compliance department, job descriptions and KPIs of the compliance staff."/>
  </r>
  <r>
    <n v="46"/>
    <s v="BTC"/>
    <n v="2021"/>
    <s v="Compliance"/>
    <s v="Compliance"/>
    <s v="Absence of Compliance Related Trainings to Staff."/>
    <s v="We noted that since 2019, staff has not attended any professional training/course/seminar relating to compliance or any other office and skills management/enhancement training. "/>
    <s v="Department should plan and arrange trainings for their staff relating to compliance, new laws and regulations, office management/skill enhancement trainings."/>
    <s v="Medium"/>
    <s v="Operation"/>
    <s v="Compliance Head"/>
    <d v="2021-12-31T00:00:00"/>
    <m/>
    <s v="Closed"/>
    <s v="-"/>
    <s v="Closed"/>
    <s v="Department will assess the training needs of compliance staff and coordinate with HR department for related trainings. "/>
  </r>
  <r>
    <n v="47"/>
    <s v="BTC"/>
    <n v="2021"/>
    <s v="Procurement"/>
    <s v="Procure to Pay Cycle"/>
    <s v="Absence of procurement policies &amp; procedures"/>
    <s v="During IA review, it was noted that policies and procedures for procurement department are not comprehensive and approved. _x000a_However, BTC has developed new Policy &amp; Procedures during the year 2020, which is not yet approved. However, department is using these policies as guidelines since march 2021._x000a_For effective and efficient operations and management, complete set of policies in line with the overall business strategy to be documented and approved as per authority matrix. Such policies may include (but are not limited to) areas relating to:_x000a_•_x0009_Emergency Purchase procedures_x000a_•_x0009_Budgeted and non-budgeted items_x000a_•_x0009_Criteria/limits for initiating POs _x000a_•_x0009_Vendor master File and its updating &amp; monitoring _x000a_•_x0009_Vendor blacklisting policy _x000a_•_x0009_Bidding Process_x000a_•_x0009_Vendor evaluation policy_x000a_•_x0009_Purchase Order cancel/ modification policy_x000a_•_x0009_Single/sole sourcing_x000a_•_x0009_Evaluation and demand committees_x000a_•_x0009_Vendor complaint handling &amp; dispute resolution procedures_x000a_•_x0009_Strategic sourcing mechanism_x000a_•_x0009_Price benchmarking mechanism_x000a_•_x0009_Maker-Checker process_x000a_•_x0009_Segregation of Duties_x000a_•_x0009_Tendering process"/>
    <s v="Comprehensive policies and procedures manual should be developed, approved, implemented and updated on periodic basis."/>
    <s v="High"/>
    <s v="Policies &amp; Procedures"/>
    <s v="Procurement Manager"/>
    <d v="2022-06-30T00:00:00"/>
    <m/>
    <s v="Closed"/>
    <s v="-"/>
    <s v="Closed"/>
    <s v="As per discussion with the group management, an external consultant has been hired for the development of policies and procedures, these will be approved and applied accordingly. "/>
  </r>
  <r>
    <n v="48"/>
    <s v="BTC"/>
    <n v="2021"/>
    <s v="Procurement"/>
    <s v="Procure to Pay Cycle"/>
    <s v="Absence of procurement plan &amp; budget"/>
    <s v="During review, IA noted that procurement department has not developed any annual procurement plan &amp; budget in line with business plan._x000a_However, all procurement are made, based on business &amp; operational requirements"/>
    <s v="•_x0009_Procurement department should develop annual approved procurement plan in line with the Business Plan of the company _x000a_•_x0009_Annual/Quarterly procurement budgets should be automated and tracked for any future variances."/>
    <s v="High"/>
    <s v="Operation"/>
    <s v="Procurement Manager"/>
    <d v="2022-06-30T00:00:00"/>
    <d v="2024-12-31T00:00:00"/>
    <s v="Open Due"/>
    <n v="1461"/>
    <s v="More than 2 Years"/>
    <s v="As per discussion with the group management an external consultant has been hired for the development of policies and procedures, including procurement policies and procedures (procurement budget and plan). In guidance of these policies and procedures management will develop annual procurement plan and budget in line with the business plan on quarterly or annual basis accordingly"/>
  </r>
  <r>
    <n v="49"/>
    <s v="BTC"/>
    <n v="2021"/>
    <s v="Procurement"/>
    <s v="Procure to Pay Cycle"/>
    <s v="Absence of dept. Organization structure"/>
    <s v="During review, IA noted that:_x000a_1._x0009_Approved organizational structure for the procurement department is not available._x000a_2._x0009_Job descriptions and succession planning for key procurement staff were not developed and available for review._x000a_3._x0009_No KPIs are defined, approved and communicated to key employees of the Procurement department."/>
    <s v="Management should prepare Org. structure, KPI &amp; Job description &amp; get it approved as per authority matrix, and communicate it to the staff"/>
    <s v="High"/>
    <s v="Org. structur, JD &amp; KPI's"/>
    <s v="Procurement Manager"/>
    <d v="2022-06-30T00:00:00"/>
    <d v="2024-12-31T00:00:00"/>
    <s v="Open Due"/>
    <n v="1461"/>
    <s v="More than 2 Years"/>
    <s v="Department with the coordination of HR will develop organizational structure, job description, succession plan and KPIs of the department key employees."/>
  </r>
  <r>
    <n v="50"/>
    <s v="BTC"/>
    <n v="2021"/>
    <s v="Procurement"/>
    <s v="Procure to Pay Cycle"/>
    <s v="Absence of procurement evaluation committee"/>
    <s v="During IA review, it was noted that there is no Procurement Committee in BTC to ensure transparency, consistency and fair application of procurement practices."/>
    <s v="•_x0009_Management should form a procurement committee defining its charter to ensure transparent and fair procurement process. _x000a_•_x0009_The committee should maintain minutes of the entire procurement meetings._x000a_•_x0009_Committee should consist Finance member, Technical member, Procurement member and Beneficiary."/>
    <s v="High"/>
    <s v="Policies &amp; Procedures"/>
    <s v="Procurement Manager"/>
    <d v="2022-03-30T00:00:00"/>
    <m/>
    <s v="Closed"/>
    <s v="-"/>
    <s v="Closed"/>
    <s v="Management will establish Procurement committee to ensure consistent, correct application of approved procurement policies &amp; procedures, monitoring and executing procurement functions."/>
  </r>
  <r>
    <n v="51"/>
    <s v="BTC"/>
    <n v="2021"/>
    <s v="Procurement"/>
    <s v="Procure to Pay Cycle"/>
    <s v="Absence of procurement reporting framework"/>
    <s v="During review of the procurement process, it was noted that there is no defined mechanism for periodic performance evaluation, monitoring &amp; reporting in place._x000a__x000a_Procurement department is not preparing &amp; presenting the periodic performance monitoring reports to the management. These reports may include but are not limited to the following:_x000a__x000a_1._x0009_Budgeted &amp; Unbudgeted purchases_x000a_2._x0009_Rate of Emergency Purchases_x000a_3._x0009_Average PO cycle time_x000a_4._x0009_Procurement ROI &amp; benefits (Annual cost saving/Annual procurement cost)_x000a_5._x0009_PO status report_x000a_6._x0009_Sole/Single sourcing report"/>
    <s v="•_x0009_A formal, documented performance measurement &amp; monitoring framework should be develop to enable assessment of the efficiency and effectiveness of the Procurement Department, to support management decision making."/>
    <s v="High"/>
    <s v="Operation"/>
    <s v="Procurement Manager"/>
    <d v="2022-06-30T00:00:00"/>
    <m/>
    <s v="Closed"/>
    <s v="-"/>
    <s v="Closed"/>
    <s v="Management will consider the provision of these report in new system implementation."/>
  </r>
  <r>
    <n v="52"/>
    <s v="BTC"/>
    <n v="2021"/>
    <s v="Procurement"/>
    <s v="Procure to Pay Cycle"/>
    <s v="Lack of segregation of duties"/>
    <s v="It was also identified that Procurement Supervisor has the following access rights in CarPro system for vehicle related purchases:_x000a__x000a_1._x0009_Creation of Purchase Order_x000a_2._x0009_Modification of Purchase Order_x000a_3._x0009_Receiving of Goods in system (GRN)_x000a_4._x0009_Posting of supplier invoices"/>
    <s v="•_x0009_Management should look into this matter and to ensure proper segregation of duties is maintained._x000a_•_x0009_System related access rights to be restricted through maker-checker &amp; approval control."/>
    <s v="High"/>
    <s v="System &amp; Application"/>
    <s v="Procurement Manager"/>
    <d v="2022-07-30T00:00:00"/>
    <d v="2024-12-31T00:00:00"/>
    <s v="Open Due"/>
    <n v="1431"/>
    <s v="More than 2 Years"/>
    <s v="Management will identify and assign appropriate jobs/activity to relevant employees and will ensure proper segregation of duties are maintained in new system implementation process."/>
  </r>
  <r>
    <n v="53"/>
    <s v="BTC"/>
    <n v="2021"/>
    <s v="Procurement"/>
    <s v="Procure to Pay Cycle"/>
    <s v="Absence of adequate governance for POs processes"/>
    <s v="During IA review of 30 PO samples, it was noted the following documentation/implementation discrepancies:_x000a_1)_x0009_11 POs were found with no receipt acknowledgement on PO from vendors._x000a_2)_x0009_13 POs were found without vendor comparison sheets._x000a_3)_x0009_26 POs were found without Credit application, vendor profile and vendor selection form._x000a_4)_x0009_7 POs were found with no Delivery notes._x000a_5)_x0009_Vendor comparison sheets are not comprehensive as it doesn’t include payment terms, delivery days criteria, vehicle color etc. and justification for vendor selection._x000a_6)_x0009_There is no checklist and chronological arrangements of PO related supporting documents_x000a_Please refer Appendix 4 for further details."/>
    <s v="•_x0009_Department should address all the above listed shortfalls in PO documentation, all required supporting documents should be properly filed in chronological order. _x000a_•_x0009_A checklist of required documents should be developed and applied by procurement department."/>
    <s v="High"/>
    <s v="Operation"/>
    <s v="Procurement Manager"/>
    <d v="2022-06-30T00:00:00"/>
    <m/>
    <s v="Closed"/>
    <s v="-"/>
    <s v="Closed"/>
    <s v="With the development of new procurement policies and procedures, Department will prepare standard checklist of all required documents and take necessary steps/actions to ensure complete filing of supporting and necessary required documents properly."/>
  </r>
  <r>
    <n v="54"/>
    <s v="BTC"/>
    <n v="2021"/>
    <s v="Procurement"/>
    <s v="Procure to Pay Cycle"/>
    <s v="Issuance of manual purchase orders to vendors"/>
    <s v="During IA review, it was noted that certain POs are created manually for purchases for vehicles, Installations and other miscellaneous purchases (IT, Consumables, Stationary etc.)_x000a_Details are as under:_x000a_ "/>
    <s v="•_x0009_All POs should be generated in system and issued to vendors._x000a_•_x0009_Any required changes should be incorporated in the system_x000a_•_x0009_There must be procedures and systems for recording, reporting and archiving of all documentation"/>
    <s v="High"/>
    <s v="Operation"/>
    <s v="Procurement Manager"/>
    <d v="2022-03-31T00:00:00"/>
    <m/>
    <s v="Closed"/>
    <s v="-"/>
    <s v="Closed"/>
    <s v="Department will issue system purchase orders only through system, and no manual purchase orders will be issued to vendors."/>
  </r>
  <r>
    <n v="55"/>
    <s v="BTC"/>
    <n v="2021"/>
    <s v="Procurement"/>
    <s v="Procure to Pay Cycle"/>
    <s v="Manual modification of purchase orders"/>
    <s v="During review, IA noted that POs issued through CarPro are modified and printed through excel before final approval and sending to vendor."/>
    <s v="•_x0009_All POs should be generated in system and issued to vendors._x000a_•_x0009_System generated POs should not be modified. _x000a_•_x0009_Any required changes should be incorporated in the system and approved as per DOA."/>
    <s v="High"/>
    <s v="System &amp; Application"/>
    <s v="Procurement Manager"/>
    <d v="2022-03-31T00:00:00"/>
    <m/>
    <s v="Closed"/>
    <s v="-"/>
    <s v="Closed"/>
    <s v="POs are printed based on the CarPro generated POs and we can’t print directly from the CarPro system. Due to some technical error, and we will contact IT to solve this issue so we can make and print all POs through system without modification."/>
  </r>
  <r>
    <n v="56"/>
    <s v="BTC"/>
    <n v="2021"/>
    <s v="Procurement"/>
    <s v="Procure to Pay Cycle"/>
    <s v="Absence of vendor prequalification questionnaire form and vendor evaluation form"/>
    <s v="During review of the Procurement process, it was noted that there is no Vendor Prequalification Questionnaire Form/Vendor Selection Criteria Form designed &amp; applied by the department._x000a_It was also noted that Vendor Evaluation Scorecard is not developed to carry out periodic evaluation of vendors/suppliers by the procurement department. _x000a_Below criteria should be included in vendor evaluation scorecard but are not limited to:  _x000a_1._x0009_Supplier Rate_x000a_2._x0009_Compliance Rate of vendor contracts_x000a_3._x0009_PO &amp; Invoice accuracy_x000a_4._x0009_Average supply lead time_x000a_5._x0009_Vendor Availability"/>
    <s v="•_x0009_Vendor Prequalification Questionnaire Form should be define &amp; applied at the time of vendor selection by Management_x000a_•_x0009_Vendor evaluation mechanism and scorecard should be developed and performed on periodic basis._x000a_•_x0009_Feedback from the user department should be incorporate in the Vendor Evaluation process."/>
    <s v="High"/>
    <s v="Policies &amp; Procedures"/>
    <s v="Procurement Manager"/>
    <d v="2022-06-30T00:00:00"/>
    <m/>
    <s v="Closed"/>
    <s v="-"/>
    <s v="Closed"/>
    <s v="With development of new procurement policies and procedures, also design Vendor Prequalification Questionnaire Form/Vendor Selection Criteria Form as mentioned and apply accordingly."/>
  </r>
  <r>
    <n v="57"/>
    <s v="BTC"/>
    <n v="2021"/>
    <s v="Procurement"/>
    <s v="Procure to Pay Cycle"/>
    <s v="Significant Weakness in PO Management  "/>
    <s v="During review, it was noted that no mechanism is in place for P.O modification/cancellation._x000a_Instances are as under:_x000a_1._x0009_P.O. no. 205985 for purchase of 50 Vehicles(Tahoe):_x000a_•_x0009_Three P.O’s were issued manually with same PO number 205985. _x000a_•_x0009_ For a single purchase of 50 vehicles, 3 POs were issued at different rates_x000a_•_x0009_Cancellation of P.O is not performed before issuing new POs_x000a__x000a_ The above three POs are considered delivered to vendors as white copy of PO (vendor copy) is not available in files."/>
    <s v="•_x0009_All POs must be issued under unique serial number._x000a_•_x0009_Management should develop defined mechanism for any subsequent changes (modification/cancellation) of issued PO."/>
    <s v="High"/>
    <s v="Operation"/>
    <s v="Procurement Manager"/>
    <d v="2022-06-30T00:00:00"/>
    <m/>
    <s v="Closed"/>
    <s v="-"/>
    <s v="Closed"/>
    <s v="With the development of new procurement policies and procedures, Department will prepare procedures for cancellation/modification of issued POs and will apply accordingly."/>
  </r>
  <r>
    <n v="58"/>
    <s v="BTC"/>
    <n v="2021"/>
    <s v="Procurement"/>
    <s v="Procure to Pay Cycle"/>
    <s v="Purchases by Multiple Department not routed through Procurement Department"/>
    <s v="1._x0009_During IA review, it was noted that in year 2016-17 (4-5 years before), Procurement department had negotiated &amp; finalized vendors for regular maintenance purchases. Since then, there is no periodic subsequent evaluation of vendors performed by Procurement department._x000a_2._x0009_Further, it is also noted that since then all purchases related to Maintenance (majorly Tires, Batteries &amp; Oil) are made by Maintenance dept. and not routed through the Procurement department. There is no blanket PO issued by Procurement department for such kind of routine purchases._x000a_3._x0009_Subsequent Price negotiation and related decisions are also made by Maintenance dept. without the involvement &amp; approval of Procurement department._x000a_Year-wise details of purchases made are as under:_x000a_Purchase Year_x0009_Total Amount in SAR_x0009_Types of Material Purchase_x000a_2019_x0009_3,032,813_x0009_Tires and Batteries_x000a_2020_x0009_3,223,538_x0009_Tires and Batteries_x000a_2021_x0009_1,971,969_x0009_Tires and Batteries_x000a__x000a_4._x0009_Purchases relating to facilities management are also made directly by the facility department."/>
    <s v="•_x0009_All purchases should be routed through procurement department_x000a_•_x0009_Vendor performance evaluation should be carried out periodically."/>
    <s v="Medium"/>
    <s v="Policies &amp; Procedures"/>
    <s v="Procurement Manager"/>
    <d v="2022-06-30T00:00:00"/>
    <m/>
    <s v="Closed"/>
    <s v="-"/>
    <s v="Closed"/>
    <s v="With the development of new procurement policies and procedures, Management will also consider and discuss the modification of org. structure in way to bring all procurement related activities under the procurement department."/>
  </r>
  <r>
    <n v="59"/>
    <s v="BTC"/>
    <n v="2021"/>
    <s v="Procurement"/>
    <s v="Procure to Pay Cycle"/>
    <s v="Lack/inadequate controls over vendor contracts"/>
    <s v="Vendor contracts are important to achieve better quality of service, competitive prices and most suitable credit terms._x000a_During review IA noted that:_x000a_1._x0009_Certain vendor contracts are not available (where applicable)._x000a_2._x0009_Vendor contracts are not vetted by the legal department._x000a_3._x0009_Vendor contracts are expired._x000a_4._x0009_There are no standard agreements/terms for all vendor contracts_x000a_5._x0009_There is no SLA for Procurement_x000a_Below are the details:_x000a_"/>
    <s v="•_x0009_All agreements should be renewed periodically and renewal requirements to be monitored periodically by the head of department_x000a_•_x0009_Agreement should be signed &amp; retained for all the procurement activities including SLA_x000a_•_x0009_There should be standard agreements used for all procurement vendors vetted by legal advisor._x000a_•_x0009_All the agreements should be vetted by the Legal department."/>
    <s v="High"/>
    <s v="Operation"/>
    <s v="Procurement Manager"/>
    <d v="2022-03-30T00:00:00"/>
    <m/>
    <s v="Closed"/>
    <s v="-"/>
    <s v="Closed"/>
    <s v="Mostly vendors are not interested to make contracts, however management will consider and make his maximum possible effort to renew old contract (where applicable) or make new contracts"/>
  </r>
  <r>
    <n v="60"/>
    <s v="BTC"/>
    <n v="2021"/>
    <s v="Procurement"/>
    <s v="Procure to Pay Cycle"/>
    <s v="Inadequate maintenance of vendor master file"/>
    <s v="On review of the procurement process, we noted the following:_x000a_1._x0009_There is no system based vendor master file. However, it is maintained manually over excel spreadsheets_x000a_2._x0009_Upon further review, it is noted that required information were not updated and is not comprehensive._x000a_Master file must contain following information like;_x000a_•_x0009_Vendor Status (Active/ Inactive)_x000a_•_x0009_Vendor Code (Oracle &amp; CarPro)_x000a_•_x0009_City, Country, Region_x000a_•_x0009_Agreed Payment Terms_x000a_•_x0009_Contract Availability_x000a_•_x0009_Vendors address_x000a_•_x0009_Vendors bank account_x000a__x000a_3._x0009_Vendor Master File does not include below mentioned vendors (sample) details related to Maintenance department:_x000a_Sr._x0009_Workshop/Vendor Name_x0009_Type_x000a_1_x0009_CARAVAN AUTO_x0009_Workshop_x000a_2_x0009_LEMAR WORKSHOP_x0009_Workshop_x000a_3_x0009_FAST WORKSHOP_x0009_Workshop_x000a_4_x0009_ELAF CENTER FOR CAR MAINTENANCE_x0009_Workshop_x000a_5_x0009_FARAS MAINTENANCE CENTER_x0009_Workshop_x000a_6_x0009_PETROMIN EXPRESS (OIL/SERVICE)_x0009_Workshop/Parts_x000a_7_x0009_AL HAMRANI ONE STOP_x0009_All Kingdom_x000a_8_x0009_AL AMOUDI (TIRES)_x0009_Parts_x000a_9_x0009_GENERAL AUTOMOTIVE SERVICES_x0009_Parts_x000a_10_x0009_BIN SHIHON _x0009_Parts_x000a_11_x0009_AL RASHED GOODYEAR_x0009_Parts_x000a_12_x0009_PETROMIN GULF OIL_x0009_Engine Oil_x000a_13_x0009_AMERICAN GEAR SUPPLY &amp; SERVICE CENTER_x0009_Workshop_x000a_14_x0009_BTC OWN WORKSHOP_x0009_Workshop_x000a_15_x0009_TAMIMI SERVICE&amp;TIRE&amp;BATT_x0009_Workshop_x000a_16_x0009_ALRAWABI WORKSHOP  KHOBAR _x0009_Workshop_x000a_17_x0009_AMERICAN GEAR SERVICE _x0009_Workshop_x000a_18_x0009_AUTO CLINIC WORKSHOP_x0009_Workshop_x000a_19_x0009_WAFA WORKSHOP KHOBAR _x0009_Workshop_x000a_"/>
    <s v="•_x0009_Vendor Master File should be automated, comprehensive &amp; updated on periodic basis._x000a_•_x0009_Develop master file change process._x000a_•_x0009_All access to vendor master file should be limited to authorized persons_x000a_•_x0009_Procurement Manager should review the vendor master periodically and deactivates dormant vendors."/>
    <s v="High"/>
    <s v="Operation"/>
    <s v="Procurement Manager"/>
    <d v="2022-03-30T00:00:00"/>
    <m/>
    <s v="Closed"/>
    <s v="-"/>
    <s v="Closed"/>
    <s v="Department will develop automated Vendor Master File that should be comprehensive (including all vendors) &amp; updated on periodic basis. "/>
  </r>
  <r>
    <n v="61"/>
    <s v="BTC"/>
    <n v="2021"/>
    <s v="Procurement"/>
    <s v="Procure to Pay Cycle"/>
    <s v="Long pending open purchase orders"/>
    <s v="During review, we noted that there are 28 purchase orders that are pending since year from 2016 to 2020. These purchase orders are related to vehicle purchases. It concludes that open purchase orders have no procedures set to close it with a limited period._x000a_Below are the year-wise details mentioned as under:_x000a_Year of Purchase_x0009_No. of Purchase Orders_x0009_Qty. Ordered_x0009_Qty. Received_x000a_2016_x0009_2_x0009_710_x0009_643_x000a_2017_x0009_3_x0009_83_x0009_74_x000a_2018_x0009_17_x0009_876_x0009_590_x000a_2019_x0009_4_x0009_200_x0009_128_x000a_2020_x0009_2_x0009_112_x0009_27_x000a_Total_x0009_28_x0009_1981_x0009_1462_x000a_"/>
    <s v="•_x0009_Management should generate periodic report of all open purchase orders as at a particular date summarizing the date of shipments, current status and take necessary actions (Open/Close)."/>
    <s v="Medium"/>
    <s v="Operation"/>
    <s v="Procurement Manager"/>
    <d v="2022-03-30T00:00:00"/>
    <m/>
    <s v="Closed"/>
    <s v="-"/>
    <s v="Closed"/>
    <s v="The department will take correction action by consulting with IT department and business owners, further a policy should be established for periodic review of open POs for their timely action to close open POs.  "/>
  </r>
  <r>
    <n v="62"/>
    <s v="BTC"/>
    <n v="2021"/>
    <s v="Procurement"/>
    <s v="Procure to Pay Cycle"/>
    <s v="Absence of standard purchase requisition form"/>
    <s v="During review, IA noted that there is no standard Material requisition for all purchases. _x000a_Separate process is followed for different types of purchases like:_x000a_•_x0009_Manual requisition for stationary, consumables, Facility, Admin, and Marketing etc. related purchases._x000a_•_x0009_Email requisition for IT related purchases._x000a_•_x0009_CarPro requisition for vehicles &amp; installations."/>
    <s v="•_x0009_Management should design &amp; use standard purchase requisition form"/>
    <s v="Medium"/>
    <s v="Operation"/>
    <s v="Procurement Manager"/>
    <d v="2022-06-30T00:00:00"/>
    <m/>
    <s v="Closed"/>
    <s v="-"/>
    <s v="Closed"/>
    <s v="After the finalization of new organizational structure and implementation of new system, department will apply a standard requisition form for all type of procurement. "/>
  </r>
  <r>
    <n v="63"/>
    <s v="BTC"/>
    <n v="2021"/>
    <s v="Finance"/>
    <s v="Procure to Pay Cycle"/>
    <s v="Outdated Treasury Policies and Procedures"/>
    <s v="Based on IA review, it was noted that policies and procedures for treasury function are outdated (no revision from 2011). However, management has developed a new version of treasury policies and procedures which is not yet approved and applied._x000a_Further the following important areas of policies and procedures should be the part of new manual (including but not limited to):_x000a_•_x0009_Liquidity Risk Management policy risk and Appetite framework_x000a_•_x0009_Cash forecasting and planning procedures_x000a_•_x0009_Working Capital management_x000a_•_x0009_Maturing obligations policy and procedures_x000a_•_x0009_Inter-Bank Transfer procedures_x000a_•_x0009_Bank relationship management"/>
    <s v="Comprehensive policies and procedures manuals should be developed, approved, implemented and updated on periodic basis."/>
    <s v="High"/>
    <s v="Policies &amp; Procedures"/>
    <s v="Finance Manager"/>
    <d v="2022-06-30T00:00:00"/>
    <m/>
    <s v="Closed"/>
    <s v="-"/>
    <s v="Closed"/>
    <s v="As per discussion with the group management, Policies and procedures will be prepared by the group consultant and approved accordingly."/>
  </r>
  <r>
    <n v="64"/>
    <s v="BTC"/>
    <n v="2021"/>
    <s v="Finance"/>
    <s v="Procure to Pay Cycle"/>
    <s v="Absence of Organization structure, KPI’s and Job Description for Treasury function."/>
    <s v="During review, IA noted that Organizational structure, Job Descriptions and Key Performance Indicators (KPIs) for the Treasury Department have not been established, approved and communicated to key employees of the treasury function."/>
    <s v="•_x0009_Organizational structure of finance department showing treasury function should be developed and approved accordingly._x000a_•_x0009_Role based KPIs to be developed and should be duly communicated to staff._x000a_•_x0009_Performance monitoring mechanism to be formalized._x000a_•_x0009_Job Descriptions should be prepared and approved as per DoA’s and communicated to employees. _x000a_•_x0009_Trainings should be given to treasury staff in both financial aspects, as well as the operations of the department. "/>
    <s v="High"/>
    <s v="Org. structur, JD &amp; KPI's"/>
    <s v="Finance Manager"/>
    <d v="2022-06-30T00:00:00"/>
    <m/>
    <s v="Closed"/>
    <s v="-"/>
    <s v="Closed"/>
    <s v="As per discussion with the group management, Policies and procedures will be prepared by the group consultant and approved accordingly. Management will prepare organizational structure, job description and KPIs for staff in line with the new policies and procedures."/>
  </r>
  <r>
    <n v="65"/>
    <s v="BTC"/>
    <n v="2021"/>
    <s v="Treasury"/>
    <s v="Procure to Pay Cycle"/>
    <s v="Absence of defined Service Level Agreement"/>
    <s v="During IA review, it was noted that no Service Level Agreement exists between BTC and Group treasury for smooth operations of BTC treasury function._x000a_The SLA should include at least the followings: _x000a_•_x0009_Description of services provided_x000a_•_x0009_Expected service levels, and metrics by which the services will be measured_x000a_•_x0009_Escalation matrix for non-adherence to SLA._x000a_•_x0009_SLA should be approved as per DoA and circulated to all relevant stakeholders._x000a_•_x0009_Duties and responsibilities of each party and remedies or penalties in case of non-observance"/>
    <s v="•_x0009_SLA mapped with business impact and severity should be developed that governs activity within BTC and across group treasury."/>
    <s v="Medium"/>
    <s v="Policies &amp; Procedures"/>
    <s v="Finance Manager"/>
    <d v="2022-06-30T00:00:00"/>
    <m/>
    <s v="Closed"/>
    <s v="-"/>
    <s v="Closed"/>
    <s v="As per discussion with the group management, Policies and procedures will be prepared by the group consultant and approved accordingly. Management will consider to develop and approve SLA based on new Policies and procedures. "/>
  </r>
  <r>
    <n v="66"/>
    <s v="BTC"/>
    <n v="2021"/>
    <s v="Treasury"/>
    <s v="Procure to Pay Cycle"/>
    <s v="Absence of critical liquidity Reports"/>
    <s v="IA noted that critical treasury and liquidity related reports are not prepared and provided by the department._x000a_Below is the list of necessary treasury reports (including but not limited): _x000a_•_x0009_Approved Contingency Funding plan_x000a_•_x0009_Fund management report_x000a_•_x0009_Contingency funding strategy and related report_x000a_•_x0009_Contingency Plan and recent periodic revisions"/>
    <s v="Liquidity reports should be prepared by the treasury department on periodic basis_x000a_•_x0009_Solvency levels should be monitored on a periodic basis and computed/reviewed on a quarterly basis (at the minimum) by Senior Management._x000a_•_x0009_There should be a contingency funding plan in place, approved both by the entity's as well as Group's Board of Directors, for resolution of the financial issues. It should cover (but not limited to) Roles and Responsibilities of specified staff at the time of a liquidity crisis, ranking of sources of funding and preference, funding concentration limits, performance of a yearly stress test at the minimum._x000a_•_x0009_The funding plan should be reviewed on a quarterly basis at the minimum "/>
    <s v="High"/>
    <s v="Policies &amp; Procedures"/>
    <s v="Finance Manager"/>
    <d v="2021-12-31T00:00:00"/>
    <m/>
    <s v="Closed"/>
    <s v="-"/>
    <s v="Closed"/>
    <s v="Cash management is in the embed of group treasury department, currently BTC is preparing Fund position reports manually and with the increased usage of new system, we will be able to generate important liquidity report through new system."/>
  </r>
  <r>
    <n v="67"/>
    <s v="BTC"/>
    <n v="2021"/>
    <s v="Treasury"/>
    <s v="Procure to Pay Cycle"/>
    <s v="Absence of Cash flow forecast"/>
    <s v="During audit, it was noted that periodic Cash flow forecasts statements are not prepared, reviewed, approved and documented by treasury department._x000a_Cash flow forecasts may include (but not limited to) areas such as:_x000a_•_x0009_Forecasted cash flow assumptions e.g., credit period of the suppliers, credit period of customers, inflation rates, etc._x000a_•_x0009_Alternate fund management plan._x000a_•_x0009_Variance analysis for cash flow forecasts in terms of numbers and reasons for variances should be properly documented and reviewed."/>
    <s v="•_x0009_Periodic forecasted cash flow should be prepared for BTC_x000a_•_x0009_Cash positions and Liquidity gaps should be monitored daily _x000a_•_x0009_Related reconciliation and reports with explanations for exceptions and actions are reviewed by Head of Department on a periodic basis. _x000a_•_x0009_Liquidity limit breaches/near misses should be escalated as per approved escalation matrix_x000a_•_x0009_All reports relating to cash positions and funding should be reviewed  on a periodic basis."/>
    <s v="High"/>
    <s v="Operation"/>
    <s v="Finance Manager"/>
    <d v="2022-03-31T00:00:00"/>
    <m/>
    <s v="Closed"/>
    <s v="-"/>
    <s v="Closed"/>
    <s v="Monthly Forecasted cash flows is prepared manually. However, department will consider the need to extend cash forecast on quarterly basis"/>
  </r>
  <r>
    <n v="68"/>
    <s v="BTC"/>
    <n v="2021"/>
    <s v="Treasury"/>
    <s v="Procure to Pay Cycle"/>
    <s v="Lack of monitoring over actual bank accounts &amp; G/L accounts"/>
    <s v="During review of bank accounts lists shared by treasury department and General Ledger (GL) accounts opened for banks, the below instances were noted:_x000a_A/C no._x0009_Bank Name_x0009_Findings_x000a_11010217_x0009_INMA Bank_x0009_Bank Account has been closed but not closed in G/L_x000a_11010215_x0009_Al-Bilad Bank_x0009_Bank Account has been closed but not closed in G/L_x000a_"/>
    <s v="A periodic review of the Chart of Accounts that involves:_x000a_•_x0009_Finance Manager to identify anomalies like but not limited to redundant GL accounts._x000a_•_x0009_Review and approve the changes to chart of accounts as per DoA Matrix"/>
    <s v="High"/>
    <s v="Operation"/>
    <s v="Finance Manager"/>
    <d v="2022-03-31T00:00:00"/>
    <m/>
    <s v="Closed"/>
    <s v="-"/>
    <s v="Closed"/>
    <s v="Both above mentioned account codes have been closed. department will ensure periodic review of chart of accounts for redundant GL accounts, and ensure any modification in chart of account will be made after approval from department head."/>
  </r>
  <r>
    <n v="69"/>
    <s v="BTC"/>
    <n v="2021"/>
    <s v="Treasury"/>
    <s v="Procure to Pay Cycle"/>
    <s v="Loan agreements are not vetted by legal department"/>
    <s v="During the course of audit, it was identified that loan agreements with banks are not vetted by the Legal Department. Below are the findings:_x000a__x000a_Bank Name_x0009_Loan Agreement_x0009_Amount SAR_x0009_Legal Dept. Review_x000a_SABB_x0009_30001390_x0009_164,000,000_x0009__x000a_Samba_x0009_30001389_x0009_59,252,735_x0009__x000a_"/>
    <s v="Management should develop and implement a mechanism where, all terms and conditions of the contract should be reviewed by the Legal Department to ensure the interests of BTC are adequately safeguarded."/>
    <s v="High"/>
    <s v="Operation"/>
    <s v="Finance Manager"/>
    <d v="2022-06-30T00:00:00"/>
    <m/>
    <s v="Closed"/>
    <s v="-"/>
    <s v="Closed"/>
    <s v="Group treasury is making the agreement/contracts with banks, and we received the final singed versions of the contracts. However, BTC management has discussed and communicated to the group treasury department that banking contracts related to BTC will shared with BTC before finalization to ensure that BTC interests are properly safeguarded., We will present new contracts or agreements to the Legal Department for their opinion and authorization."/>
  </r>
  <r>
    <n v="70"/>
    <s v="BTC"/>
    <n v="2021"/>
    <s v="Treasury"/>
    <s v="Procure to Pay Cycle"/>
    <s v="Delay in preparing bank reconciliation statements"/>
    <s v="During review, IA noted that:_x000a_•_x0009_Bank reconciliations are prepared manually not through oracle system. Oracle system has this functionality but department is not using this and preparing bank reconciliation reports manually on spreadsheets._x000a_•_x0009_Bank reconciliations are not prepared in a timely manner. As per best practice bank reconciliations should be prepared with in first 10 days of subsequent month._x000a_Below are the instances where bank reconciliations are prepared with considerable delay:_x000a_Banks Accounts_x0009_Recon Month_x0009_Prepared date_x0009_Delay in days_x000a_SABB Bank 11010206_x0009_Jun-21_x0009_26-Jul-21_x0009_23_x000a_SAMBA 380_x0009_Jun-21_x0009_26-Jul-21_x0009_23_x000a_SAMBA 820_x0009_Jun-21_x0009_26-Jul-21_x0009_23_x000a_SAMBA 926_x0009_Jun-21_x0009_26-Jul-21_x0009_23_x000a_RAJHI Bank 11010211_x0009_Jun-21_x0009_26-Jul-21_x0009_23_x000a_"/>
    <s v="Bank Reconciliations should be prepared on timely manner not later than first 10 days of subsequent month."/>
    <s v="Medium"/>
    <s v="Operation"/>
    <s v="Finance Manager"/>
    <d v="2022-06-30T00:00:00"/>
    <m/>
    <s v="Closed"/>
    <s v="-"/>
    <s v="Closed"/>
    <s v="Finance department will ensure timely preparation, review and approval of bank reconciliations. October 2021 reconciliations are prepared on 16th November and provided to Internal audit. We will consider preparation of bank reconciliations by ERP system after full implementation of system."/>
  </r>
  <r>
    <n v="71"/>
    <s v="BTC"/>
    <n v="2021"/>
    <s v="Finance"/>
    <s v="Procure to Pay Cycle"/>
    <s v="Outdated accounts payable policies and procedures"/>
    <s v="During review, IA noted that the policy &amp; procedures for Accounts Payable section are outdated since year 2011._x000a_However, BTC has developed new Policy &amp; Procedures during the year 2020, which is not yet approved and implemented."/>
    <s v="Comprehensive policies and procedures manual should be developed, approved, implemented and updated on periodic basis"/>
    <s v="High"/>
    <s v="Policies &amp; Procedures"/>
    <s v="Finance Manager"/>
    <d v="2022-06-30T00:00:00"/>
    <m/>
    <s v="Closed"/>
    <s v="-"/>
    <s v="Closed"/>
    <s v="Currently, there are no approved policies and procedures that define duties and responsibilities._x000a_As per discussion with group management Policies and procedures will be prepared by the group consultant and approved accordingly."/>
  </r>
  <r>
    <n v="72"/>
    <s v="BTC"/>
    <n v="2021"/>
    <s v="Accounts Payable"/>
    <s v="Procure to Pay Cycle"/>
    <s v="Absence of defined mechanism for vendor balances Confirmation &amp; Reconciliation"/>
    <s v="During IA review of Accounts payables process, it was observed that there is no defined mechanism to seek periodic balance confirmation &amp; subsequent reconciliation of identified differences between Vendor Statement of accounts &amp; confirmation._x000a_However, upon audit query for vendor balance confirmations, AP function has then requested vendors to provide balance confirmations and submitted for audit review during the course of audit."/>
    <s v="•_x0009_There should be defined mechanism for review &amp; reconciliation of accounts payable on periodic basis._x000a_•_x0009_The procedure should specify the reconciliation template containing ageing &amp; root cause analysis for long ageing balances._x000a_•_x0009_Balance confirmation should be obtained for significant vendors_x000a_•_x0009_All vendor confirmation balances should be reconciled to the General ledger."/>
    <s v="High"/>
    <s v="Policies &amp; Procedures"/>
    <s v="Finance Manager"/>
    <d v="2022-01-31T00:00:00"/>
    <m/>
    <s v="Closed"/>
    <s v="-"/>
    <s v="Closed"/>
    <s v="Due to the unavailability of the payable aging report in the current accounting system and the lack of sufficient reports, there is no analysis, and there is a gap (time) between the operating system and financial system, so no confirmation and reconciliations are made previously on timely basis,_x000a_However, with new system periodic confirmation and reconciliation will be made for all significant vendors starting from December 2021. "/>
  </r>
  <r>
    <n v="73"/>
    <s v="BTC"/>
    <n v="2021"/>
    <s v="Accounts Payable"/>
    <s v="Procure to Pay Cycle"/>
    <s v="Vendor advances aged more than 2 years"/>
    <s v="Based on IA review, it was noted that the advances (Debit balances) in vendors’ accounts are pending for longer period. AP function did not take any action and steps for schedule refunds/ adjustments._x000a_Vendor’s account activity was retrieved from system and identified following discrepancies:_x000a_Vendor Name_x0009_Balance SAR_x000a_‭Insurance House Co.‬‬‬‬‬‬‬‬‬‬‬‬‬‬‬‬‬‬‬‬‬‬‬‬‬‬‬‬‬‬‬‬‬‬‬‬‬‬‬‬‬_x0009_(2,413,293.50)_x000a_MALATH COOPERATIVE INS. CO. (2019-2020)‬_x0009_(308,408.86)_x000a_"/>
    <s v="•_x0009_Accounting policy should specify the accounting for advance payments/ adjustments/ refunds. _x000a_•_x0009_Checks should be conducted periodically (on a quarterly basis) to ensure that system is generating the correct accounting entries"/>
    <s v="High"/>
    <s v="Operation"/>
    <s v="Finance Manager"/>
    <d v="2021-12-31T00:00:00"/>
    <m/>
    <s v="Closed"/>
    <s v="-"/>
    <s v="Closed"/>
    <s v="These balances are the insurance companies' balances in relation to the outstanding claims that relate to the total loss and the group insurance department is following up the cases with the insurance company. BTC staff will follow them with group insurance department on monthly basis to resolve."/>
  </r>
  <r>
    <n v="74"/>
    <s v="BTC"/>
    <n v="2021"/>
    <s v="Accounts Payable"/>
    <s v="Procure to Pay Cycle"/>
    <s v="Anomalies noted in incentive calculations"/>
    <s v="During review of lease collection incentives for the month of February 2021, it was noted that the collection amount of SAR 113,559 on 26-Jan-2021 was accounted for in February 2021 resultantly higher collection target was achieved in February 2021 (i.e. Incentive percentage increase from 0.15% to 0.30% as per approved policy) _x000a_This result into excess in incentive amount disbursed to the relevant employees of SAR (2,206). Details of incentive calculations are as under:_x000a_Incentive Calculated, Approved &amp; Paid_x000a_Employee ID_x0009_99189_x000a_Region_x0009_JEDDAH_x000a_Collection Target_x0009_                       1,470,302 _x000a_Actual Collection Made_x0009_                 1,357,399 _x000a_Collection % Achieved_x0009_92.3%_x000a_Incentive % applied_x0009_0.30%_x000a_ Incentive Amount_x0009_                         4,072.20 _x000a_ Incentive re-calculated by Audit _x000a_Collection Amount_x0009_                 1,243,840 _x000a_Collection % Achieved_x0009_85%_x000a_Incentive % applied_x0009_0.15%_x000a_ Incentive Amount_x0009_                         1,865 _x000a_Difference (Excess Paid)_x0009_                       (2,206)_x000a_"/>
    <s v="•_x0009_Finance should ensure that incentive related calculations should be made accurately as per policy. _x000a_•_x0009_Ensure all monthly-collected amount must be accounted in the same month collection targets."/>
    <s v="High"/>
    <s v="Operation"/>
    <s v="Finance Manager"/>
    <d v="2022-01-31T00:00:00"/>
    <m/>
    <s v="Closed"/>
    <s v="-"/>
    <s v="Closed"/>
    <s v="Currently, commissions are calculated by the collection department and reviewed by the receivables department and after approval these are paid by finance department._x000a_ With the implementation of the new system, we will take collection directly from the system instead of taking it from collection department manual records, the matter will be dealt in the future through new system by finance department."/>
  </r>
  <r>
    <n v="75"/>
    <s v="BTC"/>
    <n v="2021"/>
    <s v="Accounts Payable"/>
    <s v="Procure to Pay Cycle"/>
    <s v="Lack of segregation of duties"/>
    <s v="During review of Accounts payable process, it was observed that segregation of duties was compromised. _x000a_Payable Accountant has the following rights in the accounting system._x000a_1._x0009_Create New Vendor in system_x000a_2._x0009_Enter Payable Amount in system_x000a_3._x0009_Process payments in system."/>
    <s v="•_x0009_Management should ensure proper segregated of duties are in place and maker-check control on aforementioned functions. "/>
    <s v="High"/>
    <s v="System &amp; Application"/>
    <s v="Finance Manager"/>
    <d v="2022-06-30T00:00:00"/>
    <m/>
    <s v="Closed"/>
    <s v="-"/>
    <s v="Closed"/>
    <s v="The current number of employees is not enough to segregation of duties. _x000a_Instead, finance department has manual control over each payment transaction. As every payment is prepared by the accountant, then the AP supervisor and chief accounts, reviewed it by matching the internal purchase order(PR) with the purchase order sent to the supplier, import and receiving authorizations, matching payments with payment agreement, credit term and invoice amount and finally Finance manager approved the payment/bank transfer document by realize to bank. _x000a__x000a_However, after complete system implementation and approval of finance department policies and procedures we will reassess the need to segregate the above mentioned duties or to place additional controls over the payments."/>
  </r>
  <r>
    <n v="76"/>
    <s v="BTC"/>
    <n v="2021"/>
    <s v="Accounts Payable"/>
    <s v="Procure to Pay Cycle"/>
    <s v="Violation of authority matrix"/>
    <s v="There is an exclusive contract dated 01-Dec-2020 between BTC and External Legal Consultant - HOSSAIN M. AL ABDULLAH, ATTORNEYS &amp; COUNSELORS not approved by BOD as per Authority matrix. _x000a__x000a_However, IA noted that AP function processed monthly payments since December 2020 against this contract without ensuring approval of legal contract as per delegation of authority matrix._x000a_Screenshot for Authority matrix here as under:_x000a_ "/>
    <s v="•_x0009_Management should ensure that all contract approvals and signatures must be in line to approved authority matrix"/>
    <s v="High"/>
    <s v="Operation"/>
    <s v="Finance Manager"/>
    <d v="2022-01-31T00:00:00"/>
    <m/>
    <s v="Closed"/>
    <s v="-"/>
    <s v="Closed"/>
    <s v="The lawyer's office was contracted by Mr. Hamoud Reda Al-Hamza, who was serving as a member of the Board of Directors and BTC MD, Payment is made according to a regular invoice issued to the BTC and approved by the company’s human resources manager.    Many payments were approved by the Chairman of the Board of Directors, Sheikh Abdul Mohsen Al-Issa._x000a_However, we will coordinate with HR to get the contract signed/validation from BOD as per authority matrix."/>
  </r>
  <r>
    <n v="77"/>
    <s v="BTC"/>
    <n v="2021"/>
    <s v="Accounts Payable"/>
    <s v="Procure to Pay Cycle"/>
    <s v="Misclassification of payments"/>
    <s v="During IA review of Accounts Payable processes, it was note that there are multiple/recurring payments were made to one of the vendors named” SAPTCO” through Other Miscellaneous Payables account. _x000a__x000a_Name_x0009_No. of Invoices_x0009_Amount in SAR_x000a_SAPTCO_x0009_10_x0009_592,000_x000a__x000a_There is no exclusive vendor account created for such routine vendors. _x000a_Please refer Appendix 5 for complete transactions details"/>
    <s v="•_x0009_Management should create vendor accounts of all such vendors where BTC have routine transactions_x000a_•_x0009_Vendor creation process should be followed as specified in the approved policy."/>
    <s v="Medium"/>
    <s v="Operation"/>
    <s v="Finance Manager"/>
    <d v="2021-12-31T00:00:00"/>
    <m/>
    <s v="Closed"/>
    <s v="-"/>
    <s v="Closed"/>
    <s v="A separate vendor account will be created and payment processing will take place through this account."/>
  </r>
  <r>
    <n v="78"/>
    <s v="BTC"/>
    <n v="2021"/>
    <s v="Accounts Payable"/>
    <s v="Procure to Pay Cycle"/>
    <s v="Long outstanding balances of vendors &amp; absence of payable aging report"/>
    <s v="1._x0009_Based on IA review, it was observed that certain vendors have no movement and pending balances ranging from 2012 to 2019. There is no periodic review of such vendor account balances and subsequently no appropriate actions were taken to adjust these balances. _x000a_Details of instances are as under:_x000a_Vendor Code_x0009_Vendor Name_x0009_Balance (SAR)_x0009_Pending_x000a_Since_x000a_B9001527_x0009_Abdurrahman Albisher &amp; Zaid Ali Co._x0009_507,615_x0009_Jan-16_x000a_B3001630_x0009_MAJID WORKSHOP_x0009_208,494_x0009_Dec-17_x000a_B9001538_x0009_ROYAL &amp; SUNALLIANCE 2009 - 2010 _x0009_196,942_x0009_May-19_x000a_B1001190_x0009_AL-TAMASUL WORKSHOP_x0009_88,289_x0009_Dec-18_x000a_B3001585_x0009_MUNIF AL NAHDI GROUP_x0009_65,373_x0009_May-17_x000a_B3001550_x0009_UNIVERSAL CAR MAINTENANCE_x0009_63,100_x0009_Jul-17_x000a_B3001582_x0009_ABULKALAM MOHAMMED HABIB_x0009_60,751_x0009_Jun-18_x000a_-_x0009_Other Miscellaneous Vendors_x0009_Ranging from SAR_x000a_ (45  – 51,000)_x0009_-_x000a__x000a__x000a_2._x0009_During our review, it was observed that there is no system-based payables’ aging report available for vendor outstanding balances. There is no system functionality in place to generate automated ageing report. _x000a_No manual payable ageing report being prepared on periodic basis for analysis and review."/>
    <s v="Recommendation(s):_x000a_•_x0009_Inactive long outstanding balances should be review, escalate to higher management &amp; should be adjust on timely basis._x000a_•_x0009_Finance Department should ensure that functionality of automated system-based ageing report should be enabled."/>
    <s v="Medium"/>
    <s v="Policies &amp; Procedures"/>
    <s v="Finance Manager"/>
    <d v="2022-03-31T00:00:00"/>
    <m/>
    <s v="Closed"/>
    <s v="-"/>
    <s v="Closed"/>
    <s v="The balances of the suppliers were reviewed and reconciliation on September 15, and the incorrect and long unclaimed balances were closed in the profit and loss accounts. _x000a_Further management will place a mechanism to periodically review the system generated payable aging report and any unreconciled and unclaimed balance should be dealt on timely manner."/>
  </r>
  <r>
    <n v="79"/>
    <s v="BTC"/>
    <n v="2021"/>
    <s v="Accounts Payable"/>
    <s v="Procure to Pay Cycle"/>
    <s v="Miscellaneous observations related to payables"/>
    <s v="During IA review, it was noted the following:_x000a__x000a_1._x0009_Account Payable Section does not utilise the Oracle System to track vendor contracts related terms &amp; conditions. The use of system monitoring would facilitate tracking of the number of agreements &amp; associated contract expenditures to ensure that contract credit limits, have not been exceeded, and the contract payments comply with applicable contracts._x000a__x000a_2._x0009_It was observed that vendor data in system does not specify the status of a vendor with respect to VAT (i.e., whether the vendor is Vatable or non-Vatable). AP section checks relevant vendors’ VAT applicability through manual records of vendor data._x000a_"/>
    <s v="•_x0009_All relevant departments’ vendor contracts should utilise the PR and PO function in Oracle/Microsoft Dynamics to track their contracts and related expenditures._x000a_•_x0009_In collaboration with IT department, vendor information should be updated based on the status of each vendor (Vatable/non-Vatable). _x000a_•_x0009_The system should automatically calculate the VAT amount to ensure no input VAT remains unclaimed."/>
    <s v="Medium"/>
    <s v="System &amp; Application"/>
    <s v="Finance Manager"/>
    <d v="2021-12-31T00:00:00"/>
    <m/>
    <s v="Closed"/>
    <s v="-"/>
    <s v="Closed"/>
    <s v="In new system maximum possible data relating to vendors will be captured in system, along with his contract and credit terms, VAT applicability and VAT number. "/>
  </r>
  <r>
    <n v="80"/>
    <s v="BTC"/>
    <n v="2022"/>
    <s v="Corporate Governance"/>
    <s v="Corporate Governance"/>
    <s v="Absence of Corporate Governance Function"/>
    <s v="Currently, the corporate governance activities are managed by various functions/Department i.e. the Compliance department, Human Resources, Board Secretary and CEO office. _x000a_During our review, we noted the followings:_x000a_1._x0009_Absence of clarity regarding the position or organizational unit responsible, dedicated and accountable for coordination and ownership of the corporate governance activities across BTC Company._x000a_2._x0009_Absence of regular process at least annually for monitoring the implementation of the corporate governance principles in BTC and provide the Board with reports and recommendations."/>
    <s v="•_x0009_Clearly define and assign the roles and responsibilities related to the carrying out the corporate governance activities in BTC and ensure that the same is reflected in the respective corporate governance policy to act as a central point of coordination for governance activities._x000a_•_x0009_The Board shall be provided with a periodic report relating to the implementation of corporate governance."/>
    <s v="High"/>
    <s v="Org. structur, JD &amp; KPI's"/>
    <s v="BOD Secretary"/>
    <d v="2022-06-30T00:00:00"/>
    <d v="2024-12-31T00:00:00"/>
    <s v="Open Due"/>
    <n v="1461"/>
    <s v="More than 2 Years"/>
    <s v="The Corporate Governance functions is part of the BOD Secretary rules and responsibility, However the BTC Executive Committee will develop a Corporate Governance Manual (CGM) in order for BOD approval and it will reflect the Corporate Governance functions."/>
  </r>
  <r>
    <n v="81"/>
    <s v="BTC"/>
    <n v="2022"/>
    <s v="Corporate Governance"/>
    <s v="Corporate Governance"/>
    <s v="Absence of Comprehensive Corporate Governance Framework"/>
    <s v="During our review, we noted the followings:_x000a__x000a_1._x0009_Absence of comprehensive corporate governance framework for BTC._x000a__x000a_2._x0009_Absence of documented Board of Directors Charter. _x000a__x000a_3._x0009_Certain Committees Charters are not in-line with the leading practices and not include_x000a_ (Please refer to appendix: 4)_x000a__x000a_4._x0009_Following designated stand-alone polices including but not limited to are not in place:_x000a_•_x0009_Stakeholder Relation Policy_x000a_•_x0009_Corporate Social Responsibility (CSR) Policy._x000a_•_x0009_Customer’s Protection Policy;_x000a_•_x0009_Crisis Management; _x000a_•_x0009_Media/social media Policy; _x000a_•_x0009_Related Parties Policy._x000a_•_x0009_Disclosure and Transparency Policy_x000a_•_x0009_Conflict of interest,_x000a_•_x0009_Confidentiality Policy_x000a_•_x0009_Whistle blow policy._x000a_•_x0009_Nomination and remuneration policy."/>
    <s v="•_x0009_A comprehensive corporate governance framework should be developed, documented and should be aligned to the leading practices, periodically reviewed and updated according to current practices. "/>
    <s v="High"/>
    <s v="Policies &amp; Procedures"/>
    <s v="BOD Secretary"/>
    <d v="2022-06-30T00:00:00"/>
    <d v="2025-12-31T00:00:00"/>
    <s v="Open Due"/>
    <n v="1461"/>
    <s v="More than 2 Years"/>
    <s v="BTC’s Executive Committee will develop a Corporate Governance Manual (CGM) in order for BOD approval and will reflect the above gaps."/>
  </r>
  <r>
    <n v="82"/>
    <s v="BTC"/>
    <n v="2022"/>
    <s v="Corporate Governance"/>
    <s v="Corporate Governance"/>
    <s v="Absence of Comprehensive and Approved Code of Ethics Policy"/>
    <s v="Approved Code of ethics policy for BTC staff is not developed and applied, The Company has in place an unapproved version of code of ethics developed by group. _x000a_Moreover, during review we noted the following relating to ethical culture of the company:_x000a_1._x0009_Absence of trainings or awareness sessions conducted for employees regarding adopted code of ethics. _x000a_2._x0009_The Code of Ethics does not illustrate the hotline contact details in case individuals can express concerns, questions, or observations regarding misconduct, unethical behavior._x000a_3._x0009_The code of conduct is not published to external stakeholders on company website._x000a_4._x0009_Absence of process to evaluate the individual's performance against the code of ethics standards incorporated in the performance evaluation process form._x000a__x000a_Moreover, BTC is using a whistleblowing policy developed by Alissa group dated Aug. 2019 that set out the guiding principles and procedures for facilitates the reporting of the Code of Ethics. _x000a_However, during our review of the whistleblowing process, we noted that the employees' acknowledgment of the whistleblowing policy was not obtained. Furthermore, Whistleblowing Policy and email/contact number are not published on the company website and the company's premise and hence no mechanism for external parties to raise concerns (if any)."/>
    <s v="•_x0009_A comprehensive code of ethics policy should be developed by the company and applied accordingly._x000a_•_x0009_The Code of Ethics should be circulated to all existing and newly hired employees. Furthermore, proof of receipt of the code should be obtained and archived in the employees’ files within the HR department and employees are required to certify or take annual training regarding the code of ethics. _x000a_•_x0009_The approved Code of Ethics should be published on the Company website. _x000a_•_x0009_The Company should define the periodicity for reviewing and updating the code of ethics to consider any changes in company business environment and culture._x000a_•_x0009_The HR department should consider the code of conduct related criteria in standard individual performance evaluation criteria._x000a_•_x0009_BTC should publish on the Company’s website with whistleblowing policy and develop channels / contact for receiving whistleblowing concerns and complaints from the external stakeholders."/>
    <s v="High"/>
    <s v="Policies &amp; Procedures"/>
    <s v="BOD Secretary"/>
    <d v="2022-06-30T00:00:00"/>
    <m/>
    <s v="Closed"/>
    <s v="-"/>
    <s v="Closed"/>
    <s v="BTC Executive Committee will develop the Code of Ethics policy for BTC and will reflect the IA observation"/>
  </r>
  <r>
    <n v="83"/>
    <s v="BTC"/>
    <n v="2022"/>
    <s v="Corporate Governance"/>
    <s v="Corporate Governance"/>
    <s v="Absence of Corporate Document Control Policy Framework"/>
    <s v="During our review of policy development and management process, we noted the following:_x000a_1._x0009_Absence of documented Policy Framework or/and policy for identifying, creating, approving, maintaining, and updating Company’s policies._x000a__x000a_2._x0009_Absence of standardized and unified policy template for all the Company’s policies._x000a__x000a_3._x0009_The policy ownership is not identified or transparent to the business or to the potential policy owner. _x000a__x000a_4._x0009_Absence of centralized location for all company’s policies to ensure that all employees have access to policies._x000a__x000a_5._x0009_There is no defined Policies and Procedures committee to review and approve all policies before final issuance._x000a__x000a_6._x0009_Due to absence of custody to review and update responsibilities related to the company's policies were not clearly documented and defined. As a result, a number of key policies are missing."/>
    <s v="he Company should develop a policy contains the necessary framework such that policies can be written by policy authors, and then reviewed, ratified, approved, published, communicated, trained, maintained, and revised and create a standardized policy template to ensure proper alignment._x000a_•_x0009_The Company shall create a centralized location for all company’s policies to ensure that all employees have access to company's policies &amp; procedures and have a clear understanding of company’s policies._x000a_•_x0009_Clearly define the roles and responsibilities related to the custody, review and update of policies and procedures and ensure that the same is reflected in the respective manuals"/>
    <s v="High"/>
    <s v="Policies &amp; Procedures"/>
    <s v="BOD Secretary"/>
    <d v="2022-06-30T00:00:00"/>
    <m/>
    <s v="Closed"/>
    <s v="-"/>
    <s v="Closed"/>
    <s v="BTC’s Executive Committee will develop a Corporate Governance Manual (CGM) in order for BOD approval and will reflect the corporate document control policy as per the IA observations"/>
  </r>
  <r>
    <n v="84"/>
    <s v="BTC"/>
    <n v="2022"/>
    <s v="Corporate Governance"/>
    <s v="Corporate Governance"/>
    <s v="Absence of Key Boards’ Committees"/>
    <s v="BTC has established various board committees to assist board of directors and developed charters for each of the Board Committees that defines and documents the specific responsibilities delegated by the Board of Directors to its Committees and the manner in which the Committees will operate. However, during our review we noted the following that Below board sub committees are not in place (existence):_x000a_•_x0009_Executive Committee;_x000a_•_x0009_Nomination and Remuneration Committee;"/>
    <s v="BOD should consider to constitute the committee in timely manner  for the assistance and performance of their duties more effectively and efficiently"/>
    <s v="High"/>
    <s v="Strategic"/>
    <s v="BOD Secretary"/>
    <d v="2022-06-30T00:00:00"/>
    <m/>
    <s v="Closed"/>
    <s v="-"/>
    <s v="Closed"/>
    <s v="By 31/12/2021, we agreed that there was an absence of Board Committees, However the Board of Directors in Jan 2022 appointed an Executive Committee of 5 Members. Moreover, the Executive Committee will develop a Board of Directors structure for BOD approval and will reflect the IA observations"/>
  </r>
  <r>
    <n v="85"/>
    <s v="BTC"/>
    <n v="2022"/>
    <s v="Corporate Governance"/>
    <s v="Corporate Governance"/>
    <s v="Weakness Surrounding Nomination, Appointment, and Retirement of Directors"/>
    <s v="During review we noted the following:_x000a_1._x0009_Absence of formal and documented Nomination and remuneration policy which set out the guidelines to the basic policies, standards, and procedures on the selection and appointment of Directors and subcommittee members._x000a__x000a_2._x0009_Absence of formal, documented, and approved Board Competency Model/Framework. Moreover, there is no documented evidence indicate that evaluation has been carried out to the current Board member’s skills and experience on periodic basis._x000a__x000a_3._x0009_Absence of an official Letter and contractual agreement that setting out the terms and conditions of Board and committee member's appointment._x000a__x000a_4._x0009_Absence of formal files/records maintained for all existing Board of Directors and committee members which include Board documents, declarations, and etc._x000a__x000a_As leading corporate business practice, The NRC Committee shall ensure on an annual basis that Independent Members remain free of any conflict of interest and that they continue to satisfy the requirements as Independent Member. However, during our review, we noted that there is no NRC in BTC and no documented evidence indicates that such practice has carried out."/>
    <s v="•_x0009_The Company shall develop a Nomination and remuneration Policy to ensure the appointment to the Board of Directors of a candidate who will contribute optimally to the balance of skills, experience, knowledge maturity, network, and diversity of the Board._x000a_•_x0009_The NRC shall develop and maintain a competency model to documents the skills, experience, independence, capabilities, qualifications, and knowledge required for Board membership and conduct at least annually an evaluation of the balance of skills, experience, independence and knowledge on the board._x000a_•_x0009_The Company shall ensure that the following documents (not limited to) are maintained for each Board member: JD, background check, signed code of ethics, signed director declarations, Curriculum vitae, professional qualifications, academic certificates, work experiences, copy of the national ID, NRC assessment form, and contractual agreement._x000a_•_x0009_Newly appointed directors, should receive a letter of appointment, setting out; key terms and conditions of the appointment, time commitment, powers and duties of directors, remuneration, requirement to disclose directors’ interests and any matters which affect the director’s independence, resignation and termination, and confidentiality and access to corporate information._x000a_•_x0009_The NRC should ensure (at least annually) that Independent Directors appointed onto Board / Committee are free from conflicts of interest."/>
    <s v="High"/>
    <s v="Policies &amp; Procedures"/>
    <s v="BOD Secretary"/>
    <d v="2022-10-31T00:00:00"/>
    <m/>
    <s v="Closed"/>
    <s v="-"/>
    <s v="Closed"/>
    <s v="BOD resolved the NRC in 2017 (attached 0.061) and delegated all NRC’s rules and responsibility to the Group NRC._x000a_BTC Executive Committee will develop a Board of Directors structure for BOD approval and will reflect the IA observations."/>
  </r>
  <r>
    <n v="86"/>
    <s v="BTC"/>
    <n v="2022"/>
    <s v="Corporate Governance"/>
    <s v="Corporate Governance"/>
    <s v="Absence of Related Parties and Conflict of Interest Policies"/>
    <s v="During our review of related party’s activities and conflict of interest management and monitoring process, we noted the following:_x000a_1._x0009_Absence of designated policy and framework to govern the company's Related Parties Transactions “RPTs” and dealing with its related parties._x000a__x000a_2._x0009_Absence of comprehensive identification methodology and lack of list/database of all related parties subject to deal with BTC._x000a__x000a_3._x0009_There is no annual activity for declaration or certification from all the company's employees (Directors, executive management, and employees) to declare any potential conflict of interest or related party disclosure. Furthermore, there is no documented acknowledgment from the employees that they read and understand the conflict of interest policy._x000a__x000a_4._x0009_There is no process in place to obtain employees' disclosure regarding any potential conflict of interest or any relative relation at the time of job application."/>
    <s v="•_x0009_The company should develop a comprehensive related party transactions policy _x000a_•_x0009_A comprehensive related parties list should be developed and periodically updated based on available information. The list shall be communicated to concerned parties for their reference. _x000a_•_x0009_The HR department shall ensure that the Job application for all newly hired employees has captured the employees' disclosure regarding any potential conflict of interest or any relative relation._x000a_•_x0009_ Furthermore, the HR department should ensure that conflict of interest policy is communicated to all employees through on-going annual certification as acknowledgement of receiving and understanding policy"/>
    <s v="High"/>
    <s v="Policies &amp; Procedures"/>
    <s v="BOD Secretary"/>
    <d v="2022-10-31T00:00:00"/>
    <d v="2025-12-31T00:00:00"/>
    <s v="Open Due"/>
    <n v="1338"/>
    <s v="More than 2 Years"/>
    <s v="BTC’s Executive Committee will develop a Corporate Governance Manual (CGM) in order for BOD approval and will reflect the related party transaction policy along with the conflict of interest as per the IA observations."/>
  </r>
  <r>
    <n v="87"/>
    <s v="BTC"/>
    <n v="2022"/>
    <s v="Corporate Governance"/>
    <s v="Corporate Governance"/>
    <s v="Absence of Performance Evaluation/Assessments of Board of Directors"/>
    <s v="During our audit, we noted absence of monitoring and periodic performance evaluation mechanisms implemented for board of directors and sub committees._x000a_The Board of Directors shall conduct an annual evaluation to determine whether the Board and its Committees are functioning effectively. This assessment may be performed via self-assessment checklists, peer assessment, internal and/or external assessment by independent third party._x000a_Furthermore, we noted the absence of a training plan and/or programs as part of the continuous professional development process for Board and committee members in order to develop their skills and knowledge in the fields related to the activities of the Company."/>
    <s v="The Board of Directors shall conduct an annual evaluation to determine whether the Board and its Committees are functioning effectively, by ensuring the following:_x000a_1._x0009_The Board shall receive comments from all members and complete an annual assessment of the Board's performance which will be discussed following the end of each fiscal year._x000a_2._x0009_The assessment shall focus on the Board's contribution to the company specifically on areas in which the Board or management has expertise._x000a_3._x0009_The assessment shall include an assessment of skills and experiences, identification of weaknesses and strengths, and mechanisms of the Board’s activities in general._x000a_4._x0009_The assessment of Board members’ performance shall either be addressed internally or externally. The various methods include:_x000a_•_x0009_Self-evaluation whereby every member assesses his/her own performance._x000a_•_x0009_Peer-evaluation whereby member assesses the performance of the Board as a whole._x000a_•_x0009_NRC may assesse the performance of the Board / Board committee as a whole._x000a_•_x0009_External independent evaluation whereby the Board performance as a whole is conducted by a third party every three years._x000a_5._x0009_Non-Executive Directors shall carry out a periodic assessment of the performance of the Chairman and consider the opinions of the Executive Directors on the assessment. The discussion shall take place without the presence of the Chairman._x000a_6._x0009_Develop training plans based on the board evaluation process and developing the necessary mechanisms for Board members to continuously enroll in training programs and courses in order to develop their skills and knowledge in the fields related to the activities of the Company. Moreover, the Chairman should address the development needs of the board as a whole"/>
    <s v="High"/>
    <s v="Policies &amp; Procedures"/>
    <s v="BOD Secretary"/>
    <d v="2022-10-31T00:00:00"/>
    <d v="2025-12-31T00:00:00"/>
    <s v="Open Due"/>
    <n v="1338"/>
    <s v="More than 2 Years"/>
    <s v="This exercise will start in 2022"/>
  </r>
  <r>
    <n v="88"/>
    <s v="BTC"/>
    <n v="2022"/>
    <s v="Corporate Governance"/>
    <s v="Corporate Governance"/>
    <s v="Board and Committees Meeting Management"/>
    <s v="During review of minutes of certain committees meeting conducted during 2020 and 2021, we noted certain instances where the Committee members have signed only the last page of the meeting minutes while they should sign all meeting minutes’ pages. _x000a_(FOR INSTANCES, PLEASE REFER TO ANNEXURE # 5)"/>
    <s v="•_x0009_All pages of Minutes of meeting should be duly signed or initialed by the Members."/>
    <s v="High"/>
    <s v="Strategic"/>
    <s v="BOD Secretary"/>
    <d v="2022-03-31T00:00:00"/>
    <m/>
    <s v="Closed"/>
    <s v="-"/>
    <s v="Closed"/>
    <s v="Only Audit Committee minutes of meetings are missing the mentioned signature, therefor we will follow up with committee secretary to close this observation accordingly.  "/>
  </r>
  <r>
    <n v="89"/>
    <s v="BTC"/>
    <n v="2022"/>
    <s v="Corporate Governance"/>
    <s v="Corporate Governance"/>
    <s v="Inadequate Strategic Delegation of Authority"/>
    <s v="During review of the company’s delegation of authorities’ framework, we noted that Authority Matrix is incomprehensive and not addressing the following areas that include but are not limited to;_x000a_•_x0009_Review and approval authority of vision, mission and objectives of company._x000a_•_x0009_Authority level for review and approval of the related party transactions and declaration of possible conflicts of interest (if any)._x000a_•_x0009_Outlining approval authority level for Bank facility/ loan agreements_x000a_•_x0009_Appointment and approval of key positions such as CEO, CFO. _x000a_•_x0009_Approval authority of Budget variance "/>
    <s v="•_x0009_The Authority matrix should be regularly and periodically updated and address all above identified gaps. "/>
    <s v="High"/>
    <s v="Authority Matrix"/>
    <s v="BOD Secretary"/>
    <d v="2022-10-31T00:00:00"/>
    <m/>
    <s v="Closed"/>
    <s v="-"/>
    <s v="Closed"/>
    <s v="An update version of DoA in progress and it will reflect all observation."/>
  </r>
  <r>
    <n v="90"/>
    <s v="BTC"/>
    <n v="2022"/>
    <s v="Corporate Governance"/>
    <s v="Corporate Governance"/>
    <s v="Absence of Induction and Orientation Programs"/>
    <s v="The Company shall pay adequate attention to preparation of induction program for the recently-appointed Board and committee members to familiarize them with the Company’s business, activities and corporate governance framework._x000a_However, during  review we noted the absence of a formalized and comprehensive Board Member induction program and pack intends to serve as an information pack for new members joining the Company’s Board of Directors and sub committees."/>
    <s v="•_x0009_A comprehensive Board Member Induction Manual shall be in place intends to serve as an information pack for new members joining the Company’s Board of Directors, and recommend to include the following: _x000a_1)_x0009_Strategy plan and key financial figures;_x000a_2)_x0009_Governance structure;_x000a_3)_x0009_Board Committees charters;_x000a_4)_x0009_The official documents (polices, procedures and other relevant documents);_x000a_5)_x0009_The Company's articles of association;_x000a_6)_x0009_The obligations of the Board members and their duties, responsibilities and rights;_x000a_7)_x0009_Corporate governance policy;_x000a_8)_x0009_Code of conduct;_x000a_9)_x0009_Board remuneration; and _x000a_10)_x0009_Company's risk management framework."/>
    <s v="Medium"/>
    <s v="Policies &amp; Procedures"/>
    <s v="BOD Secretary"/>
    <d v="2022-10-31T00:00:00"/>
    <m/>
    <s v="Closed"/>
    <s v="-"/>
    <s v="Closed"/>
    <s v="We do this exercise for each Board / Committee member newly appointed by sending all related materials by email._x000a_Moreover, we will consider this exercise in written in 2022."/>
  </r>
  <r>
    <n v="91"/>
    <s v="BTC"/>
    <n v="2022"/>
    <s v="Operations"/>
    <s v="Lead to Collection"/>
    <s v="Absence of comprehensive policies and procedures "/>
    <s v="During IA review, it was noted that comprehensive policies and procedures covering all sub processes of the Business Development department (Spot, Lease &amp; Projects) are not in place. _x000a_For effective and efficient operations and management, complete set of policies in line with the overall business strategy to be documented and approved as per authority matrix. Such policies may include (but are not limited to) areas relating to:_x000a_•_x0009_Lease Sales Policy, Section # 5.24 of policy specifies that up to 15% reduction of rental amount can be provided on renewal of contract, but no basis/conditions defined in the policy._x000a_•_x0009_New branches (Spot &amp; Lease business) Initiation Setup &amp; Implementation_x000a_•_x0009_Closure of existing branches for Spot &amp; Lease business_x000a_•_x0009_Sale to employees and related parties_x000a_•_x0009_Process of receiving vehicles from Procurement_x000a_•_x0009_Process of Delivery of vehicles to customers _x000a_•_x0009_Process of Travel Permit Issuance outside kingdom_x000a_•_x0009_Internal Transfers of vehicles from one region to another"/>
    <s v="•_x0009_Comprehensive policies and procedures manual should be developed, approved, implemented, and updated on periodic basis._x000a_•_x0009_Policy &amp; Procedures should also should include the process related to sale to group companies/subsidiaries"/>
    <s v="High"/>
    <s v="Policies &amp; Procedures"/>
    <s v="COO"/>
    <d v="2022-06-30T00:00:00"/>
    <m/>
    <s v="Closed"/>
    <s v="-"/>
    <s v="Closed"/>
    <s v="Policies and procedures for BD will be developed, reviewed and submitted to board for their approval. After approval from board these will be applied accordingly. "/>
  </r>
  <r>
    <n v="92"/>
    <s v="BTC"/>
    <n v="2022"/>
    <s v="Business Devlopment"/>
    <s v="Lead to Collection"/>
    <s v="Absence of approved pricing and discount policy &amp; strategy"/>
    <s v="During our review we revealed that, there is no pricing policy &amp; strategy defined and approved by management._x000a_It was also noted that there is no approved discount policy in place to track, monitor and authorize any discounts or price reductions._x000a_Pricing and discount policy should address at least the followings:_x000a_•_x0009_Customer segment wise pricing (corporate customers, Govt. customers, and food delivery companies and fast manufacturing consumer goods (FMCGs)_x000a_•_x0009_Pricing methodology_x000a_•_x0009_Base rate calculation_x000a_•_x0009_Defined pricing factors and targeted GP and NP._x000a_•_x0009_Range and authority to change pricing factors_x000a_•_x0009_Promotions schemes_x000a_•_x0009_Regional impact on pricing._x000a_•_x0009_Early termination and contract extensions."/>
    <s v="•_x0009_Pricing policy &amp; strategy should be defined and approved as per DOA._x000a_•_x0009_Discount policy with minimum &amp; maximum discount limit should be defined &amp; approved and further discounts if required to be given must approved as per DOA."/>
    <s v="High"/>
    <s v="Policies &amp; Procedures"/>
    <s v="Business Development Manager"/>
    <d v="2022-05-30T00:00:00"/>
    <d v="2025-12-31T00:00:00"/>
    <s v="Open Due"/>
    <n v="1492"/>
    <s v="More than 2 Years"/>
    <s v="Pricing and discount policy is already prepared and submitted to board for review and approval. Once it will be approved it will be applied accordingly."/>
  </r>
  <r>
    <n v="93"/>
    <s v="BTC"/>
    <n v="2022"/>
    <s v="Business Devlopment"/>
    <s v="Lead to Collection"/>
    <s v="Absence of business development plan &amp; strategy"/>
    <s v="It was observed that there is no documented &amp; approved Business development plan &amp; strategy. _x000a_This strategy &amp; associated plan should be in line with the organizational vision, mission &amp; goals and can propel entire organization to new levels of growth and profitability._x000a_It includes many objectives such as sales growth, business expansion, formation of strategic partnerships and increased profitability. _x000a__x000a_It is also required to assess and identify following key areas: _x000a_•_x0009_Industry dynamics and implications_x000a_•_x0009_Target Market_x000a_•_x0009_Competitive Strength and Weaknesses (SWOT Analysis)_x000a_•_x0009_Current business emphasis with industry opportunity and competitiveness_x000a_•_x0009_Impact of strategic initiatives_x000a_•_x0009_Expected financial returns of strategy."/>
    <s v="•_x0009_Management should clearly develop Business development plan &amp; strategy (Spot &amp; leasing) and map it to mission, vision and goals of the organization."/>
    <s v="High"/>
    <s v="Policies &amp; Procedures"/>
    <s v="Business Development Manager"/>
    <d v="2022-06-30T00:00:00"/>
    <d v="2025-12-31T00:00:00"/>
    <s v="Open Due"/>
    <n v="1461"/>
    <s v="More than 2 Years"/>
    <s v="Once the policies and procedures are finalized for BD department, comprehensive business development plan and strategy will be developed, and applied accordingly. "/>
  </r>
  <r>
    <n v="94"/>
    <s v="BTC"/>
    <n v="2022"/>
    <s v="Business Devlopment"/>
    <s v="Lead to Collection"/>
    <s v="Weaknesses surrounding pricing calculations"/>
    <s v="During review of pricing model and calculations we noted the followings:_x000a_Rentals are calculated including a vehicle base price and flowing additional Pricing factors like:_x000a_*_x0009_Depreciation_x000a_*_x0009_Insurance_x000a_*_x0009_Maintenance_x000a_*_x0009_Financing cost_x000a_*_x0009_G&amp;A_x000a_*_x0009_Target profit_x000a__x000a_•_x0009_It was noted that above pricing factors are not approved and there is no defined process to calculate, standardize/benchmark and document lease pricing factors that are the basis of rental amount calculations._x000a__x000a_•_x0009_It was observed that the profit margins &amp; above pricing factors can be changed to determine the targeted rental price of the vehicles without proper written justification to change them. pricing factors can be manipulated to accommodate the client discount._x000a_For instances, refer to Appendix # 4_x000a__x000a_•_x0009_It was observed that the lease pricing calculations were performed on manual spreadsheet. Any changes, modifications and subsequent approvals from management were performed on these manual spreadsheets."/>
    <s v="•_x0009_Pricing factors should be benchmarked, approved, and define in system. _x000a_•_x0009_Any changes in pricing factors should be approved as per DOA._x000a_•_x0009_Price calculations should be automated and approved accordingly."/>
    <s v="High"/>
    <s v="Policies &amp; Procedures"/>
    <s v="Business Development Manager"/>
    <d v="2022-05-30T00:00:00"/>
    <m/>
    <s v="Closed"/>
    <s v="-"/>
    <s v="Closed"/>
    <s v="Pricing mechanism, basis, and calculation and approval authority is updated based on current business needs and market requirements and submitted to board for their approval."/>
  </r>
  <r>
    <n v="95"/>
    <s v="BTC"/>
    <n v="2022"/>
    <s v="Business Devlopment"/>
    <s v="Lead to Collection"/>
    <s v="Absence of department organization structure, succession plan &amp; training program"/>
    <s v="During our review, we noted that:_x000a_1._x0009_Approved organizational structure for the Business Development department is not available._x000a_2._x0009_succession planning for key BD staff were not developed and available for review._x000a_3._x0009_Job descriptions and succession planning for key Business Development staff were not developed and available for review._x000a_4._x0009_No KPIs are defined, approved, and communicated to key employees of the Business Development department._x000a_5._x0009_No training has been conducted for lease sales team &amp; have not attended any professional trainings, courses or seminars relating to car rentals sales or any skills management and enhancement trainings."/>
    <s v="•_x0009_Management should prepare Org. structure &amp; succession plan, get it approved as per authority matrix, and communicate it to the staff_x000a_•_x0009_Management should define KPI &amp; Job description &amp; get it approved annually as per authority matrix and communicate it to the staff._x000a_•_x0009_Department should plan and arrange trainings for their staff relating to car rental sales, office management/skill enhancement trainings."/>
    <s v="High"/>
    <s v="Org. structur, JD &amp; KPI's"/>
    <s v="Business Development Manager &amp; COO"/>
    <d v="2022-06-30T00:00:00"/>
    <d v="2025-12-31T00:00:00"/>
    <s v="Open Due"/>
    <n v="1461"/>
    <s v="More than 2 Years"/>
    <s v="Discussion is in progress with board to evaluate the need of business development unit in organization. Once its finalized organizational structure will be developed for this department and BD manager will hired, who will take care of the above mentioned points and resolve accordingly."/>
  </r>
  <r>
    <n v="96"/>
    <s v="BTC"/>
    <n v="2022"/>
    <s v="Operations"/>
    <s v="Lead to Collection"/>
    <s v="Penalties incurred on BTC due to delay in renewal of vehicle registration and MVPI (Motor Vehicle Periodic Inspection) "/>
    <s v="Internal audit has observed that the penalties has been incurred on BTC due to delay in renewing the registration of the vehicles._x000a_Below are some payments related to penalties levied to BTC due to delay in renewal of vehicle registration:_x000a__x000a_Upon further analysis, we noted the followings based on data downloaded_x000a_from TAMM dated 27th January 2022 (active Fleet). There are 1,754_x000a_vehicles with expired registration causing total financial loss of SAR_x000a_243,100._x000a__x000a__x000a_•_x0009_There are 726 vehicles with expired MVPI (Motor Vehicle Periodic Inspection) leading to financial loss of SAR 108,900 penalties (if caught by Traffic authorities). _x000a_"/>
    <s v="•_x0009_Management should enhance controls and periodic review process for MVPI and registration renewals. _x000a_•_x0009_Establish accountability in case of non-renewal of MVPI and registration on timely manner without proper justification._x000a_•_x0009_Comprehensive process and mechanism should be developed and applied for timely renewal of MVPI and registration.  "/>
    <s v="High"/>
    <s v="Operation"/>
    <s v="COO"/>
    <d v="2022-06-30T00:00:00"/>
    <m/>
    <s v="Closed"/>
    <s v="-"/>
    <s v="Closed"/>
    <s v="Most of the registration and MPVI expiry violations are due to noncompliance of SASO standards in case of truck modifications. BTC can’t renew MVPI due to noncompliance of standards and ultimately registration of the trucks. Operation department has already taken the steps to replace these modifications with available alternatives as per standard requirements that will reduce the fines in future._x000a_However, for timely renewal of registrations, MVPI and MOT card we will develop an approved process/mechanism with coordination of fleet control and HR department and applied it accordingly."/>
  </r>
  <r>
    <n v="97"/>
    <s v="BTC"/>
    <n v="2022"/>
    <s v="Operations"/>
    <s v="Lead to Collection"/>
    <s v="Traffic fines incurred on BTC due to non-updating TAMM or expired User authorization in TAMM"/>
    <s v="Internal audit has reviewed the driver information uploaded in TAMM and observed inconsistencies and irregularities in updating the driver details in TAMM._x000a_Following are reasons of traffic fines violations incurred on BTC:_x000a_•_x0009_Time period (Authorization validity) expired in TAMM_x000a_•_x0009_Extended agreements not authorized in TAMM for extended period_x000a_•_x0009_Customer Service Representative (CSR) forgot to update TAMM with driver details_x000a_•_x0009_Expired Driving License / ID automatically deactivate TAMM authorization_x000a_•_x0009_Vehicle parked in non-parking area_x000a_•_x0009_Vehicle Insurance expired_x000a_•_x0009_Inter Branch transfers without Driver Authorization_x000a_•_x0009_Damage Vehicle Plates_x000a_•_x0009_Expired Vehicle Registration_x000a_•_x0009_Expired MVPI_x000a__x000a_It was noted that as on September 2021, there were 76 violations amounting to SR 15,400 is still pending to be charged to customers. Charges to customer doesn’t means that it is recovered from customer._x000a__x000a_Summary of Traffic fines details during the period January 2021 to September 2021:"/>
    <s v="•_x0009_TAMM system is weekly /biweekly updated by the department to ensure timely updating of information on the traffic system, further more accountability and responsibility should be established and investigated._x000a_•_x0009_Process to be defined for TAMM registrations &amp; updating._x000a_•_x0009_Ensure Sold vehicles must be updated with buyer's info. in TAMM upon delivery._x000a_•_x0009_Ensure that all penalties charged back to the customers are collected, accepted by customer and collectability is highly probable."/>
    <s v="High"/>
    <s v="Operation"/>
    <s v="COO"/>
    <d v="2022-06-30T00:00:00"/>
    <m/>
    <s v="Closed"/>
    <s v="-"/>
    <s v="Closed"/>
    <s v="In TAMM we can’t update the driver information in case of foreign driving licence and fines will come to BTC.   Most of the penalties coming to spot renting are due to this reason, spot was almost closed except few running agreements. Further certain penalties are coming due to stolen vehicles where we cannot update TAMM._x000a__x000a_In lease (Project Kuwait/Khafji) has certain drivers having foreign (no Saudi) driving license and not be possible to update in TAMM resultantly violations are paid by BTC and charged to client._x000a__x000a_However, We will develop a comprehensive  policy and process to update the TAMM information on timely manner and enhance controls over periodic review with coordination of operations to ensure the minimum violations will incur in future and that will charged to client on timely basis."/>
  </r>
  <r>
    <n v="98"/>
    <s v="BTC"/>
    <n v="2022"/>
    <s v="Business Devlopment"/>
    <s v="Lead to Collection"/>
    <s v="Outdated standard contract for lease customers"/>
    <s v="Internal audit has reviewed standard contract document of lease customers. This contract/agreement is prepared &amp; signed between BTC &amp; lease customers upon finalizing the deal and delivering of vehicles for said rental period._x000a_It was observed that this standard format of contract is outdated and was prepared in the years prior to 2000. _x000a_Following are the various discrepancies observed:_x000a_1._x0009_Incorrect CR number_x000a_2._x0009_Incorrect address for head office_x000a_3._x0009_Incorrect insurance deductible excess amount_x000a_4._x0009_Incorrect branches addresses &amp; telephone numbers_x000a_5._x0009_Bank guarantee/ deposit clauses not mentioned_x000a_6._x0009_Premature &amp; termination of contract clauses not mentioned_x000a_7._x0009_Vehicle replacement related clauses not mentioned_x000a_8._x0009_No supporting documents representing legal department review_x000a_9._x0009_Other terms &amp; conditions or clauses need comprehensive review"/>
    <s v="•_x0009_Management should develop standard contract document where all terms and conditions should be revisited as per current business requirements. _x000a_•_x0009_Management should ensure that revised version must be vetted by Legal Department to ensure the interests of BTC are adequately safeguarded."/>
    <s v="High"/>
    <s v="Operation"/>
    <s v="COO"/>
    <d v="2022-06-30T00:00:00"/>
    <m/>
    <s v="Closed"/>
    <s v="-"/>
    <s v="Closed"/>
    <s v="We are currently working on it we have sent our updated/revised terms and conditions for legal and CEO, after CEO and legal approval we will apply it accordingly.  "/>
  </r>
  <r>
    <n v="99"/>
    <s v="BTC"/>
    <n v="2022"/>
    <s v="Operations"/>
    <s v="Lead to Collection"/>
    <s v="Absence of mechanism for monitoring periodic maintenance of vehicles"/>
    <s v="During review of the BD processes, it was observed that there are no proper mechanism &amp; process exist to follow-up with the customers for performing periodic maintenance of vehicles._x000a_Periodic Maintenance (Oil &amp; filter change) should be performed on every 5,000 km &amp; 10,000 km for Diesel &amp; Petrol vehicles respectively. However, we noted that in certain instances, periodic maintenance was not performed on timely basis. _x000a_Details of Job cards for the year 2021 are as under:"/>
    <s v="•_x0009_Management must develop mechanism for adequate follow-ups for performing routine maintenance on timely basis._x000a_•_x0009_Ensure compliance with customer lease agreement relating to routine maintenance and developed required SLA to facilitate and enhance client relationship."/>
    <s v="High"/>
    <s v="Policies &amp; Procedures"/>
    <s v="COO"/>
    <d v="2022-05-30T00:00:00"/>
    <m/>
    <s v="Closed"/>
    <s v="-"/>
    <s v="Closed"/>
    <s v="We will develop a mechanism of reminders to be sent for the customers for periodic maintenance, and enhance the controls over periodic maintenance by follow ups with customers."/>
  </r>
  <r>
    <n v="100"/>
    <s v="BTC"/>
    <n v="2022"/>
    <s v="Operations"/>
    <s v="Lead to Collection"/>
    <s v="Lease agreements period expired but still open in system"/>
    <s v="It was observed that there are 378 lease agreements wherein the contract period is expired/completed/matured but still Open in the system._x000a_It was also noted that there are very old agreements since 2002 in the system which are reflecting as Open status._x000a_Upon further analysis, we noted that there is no invoicing against these agreements and vehicles associated with these agreements are under Rented, Ready &amp; Sold status._x000a_Details of expired agreements still open in CarPro related to previous years (ranging from year 2001 – 2020):"/>
    <s v="•_x0009_Management should analyze and take necessary action of extending, renewing or closing of these agreements in system on immediate basis._x000a_•_x0009_All vehicles associated to these agreements should be traced and identify the actual physical status and update the system accordingly._x000a_•_x0009_Pending invoices if any should be generated and submit to customers of priority._x000a_•_x0009_Pending collections of due amounts related to these agreements to be performed._x000a_•_x0009_Management should develop a periodic monitoring mechanism to identify &amp; evaluate the long open agreements for expired periods."/>
    <s v="High"/>
    <s v="Operation"/>
    <s v="COO"/>
    <d v="2022-06-30T00:00:00"/>
    <m/>
    <s v="Closed"/>
    <s v="-"/>
    <s v="Closed"/>
    <s v="Most of the agreements are already extend for further period as requested by clients. Very old open agreements like 2003 are relating to stolen vehicles that not recovered, and agreements are not closed as we need records of invoicing for these agreements. _x000a_Operations will review the old cases in coordinates with legal and related departments to evaluate the possibility of closing agreements as per the higher management approval and legal department advice. _x000a_ "/>
  </r>
  <r>
    <n v="101"/>
    <s v="BTC"/>
    <n v="2022"/>
    <s v="Operations"/>
    <s v="Lead to Collection"/>
    <s v="Vehicle rented to customers without system agreement and invoicing"/>
    <s v="Based on Internal audit review, it was observed that vehicles were rented to new customers without following the leasing procedures._x000a_It was revealed that vehicles were rented to lease customers under “Pre-Lease” without opening of system agreements. Only Manual checklists were prepared, and vehicles were delivered to customers._x000a_Based on the available data, there were 101 vehicles for the year 2021 and 30 vehicles in the year 2022 were rented to customers without agreements. Names of these customers are like SMSA, I-LINK, AlShrouq Express, Al Elm, Alphadeem, Gtel, Amwajtech etc._x000a_As a result, following discrepancies were noted:_x000a_•_x0009_No system agreement created_x000a_•_x0009_No Monthly Invoices were generated and submitted to customers_x000a_•_x0009_No Monthly Revenue Recognition_x000a_•_x0009_Misleading status of vehicles as “Ready” instead of “Rented”_x000a_•_x0009_Maintaining manual records leads to error &amp; omissions_x000a_•_x0009_Related charges and expenses like traffic fines, penalties, insurance deductibles, Maintenance and Repair of vehicles may remain uncharged to customers._x000a_Based on the available data for the year 2022 (Jan-Mar); Internal audit has computed the total potential impact of rental amounts remain uncharged/un-invoiced to customers was SAR 112,884 as on 31-Mar-2022._x000a_Refer Appendix 4 for details"/>
    <s v="•_x0009_It is strongly recommended to follow company policy &amp; procedures by creating system agreements immediately_x000a_•_x0009_Management must issue all pending invoices to related customers_x000a_•_x0009_Process &amp; System functionality to be enhanced and align to company policy &amp; procedures."/>
    <s v="High"/>
    <s v="Operation"/>
    <s v="COO"/>
    <d v="2022-05-30T00:00:00"/>
    <m/>
    <s v="Closed"/>
    <s v="-"/>
    <s v="Closed"/>
    <s v="Due to system Carpro restriction, Rental agreement (RA) can’t be open for further renting of used cars until dealer/vendor confirmation is obtained and recorded in system._x000a_Management will coordinate with IT team to resolve the opening of rental agreements for further renting of used car as per company approved policies and procedures. Until this issue is not resolved management is keeping separate manual records of these agreements and theses are periodically reviewed, achieved and approved by regional manager and COO."/>
  </r>
  <r>
    <n v="102"/>
    <s v="BTC"/>
    <n v="2022"/>
    <s v="Business Devlopment"/>
    <s v="Lead to Collection"/>
    <s v="Lease contract terms not uploaded in system"/>
    <s v="Internal audit has observed that the contractual terms &amp; conditions of lease customers are not uploaded in CarPro &amp; financial system. _x000a_Major clause &amp; conditions of lease contracts like credit limits, credit period, Insurance deductible amount, lease coordinator name, replacement policy, additional concierge/special services &amp; subsequent charges etc. are not uploaded in the system as per agreed contact."/>
    <s v="•_x0009_Management should ensure that all related terms and conditions of lease customers and contracts must be updated in CarPro and financial system."/>
    <s v="Medium"/>
    <s v="Operation"/>
    <s v="COO"/>
    <d v="2022-06-30T00:00:00"/>
    <m/>
    <s v="Closed"/>
    <s v="-"/>
    <s v="Closed"/>
    <s v="We will prioritize the data (compulsory and optional fields) and we will start doing it for the upcoming contract"/>
  </r>
  <r>
    <n v="103"/>
    <s v="BTC"/>
    <n v="2022"/>
    <s v="Operations"/>
    <s v="Lead to Collection"/>
    <s v="Lease coordinators were not assigned to lease customers"/>
    <s v="It was observed that Lease Coordinators are not assigned to certain lease customers. _x000a_In such scenario, delay in post-sale related services like timely TAMM authorization, periodic maintenance, registration &amp; Motor Vehicle Periodic inspection (MVPI) renewal, replacement, follow-ups, coordination, and other related activities remains uncertain and leads to customer disputes &amp; dissatisfaction_x000a_Any follow-ups, monitoring, tracking of these customers were performed as per need basis._x000a_Below mentioned are Sample Lease customers without Lease coordinators:"/>
    <s v="•_x0009_Management must ensure that all customers must be assigned with Lease coordinators._x000a_•_x0009_Relevant Lease coordinators should be responsible to perform all post-sales related services on timely basis._x000a_•_x0009_Must develop KPIs and monitoring mechanism of Lease Coordinator performance."/>
    <s v="Medium"/>
    <s v="Operation"/>
    <s v="COO"/>
    <d v="2022-05-12T00:00:00"/>
    <m/>
    <s v="Closed"/>
    <s v="-"/>
    <s v="Closed"/>
    <s v="Lease coordinator are assigned to all clients in central region. In eastern and western regions management will ensure the assignment of lease coordinator to each client for more efficient operations."/>
  </r>
  <r>
    <n v="104"/>
    <s v="BTC"/>
    <n v="2022"/>
    <s v="Marketing"/>
    <s v="Lead to Collection"/>
    <s v="Absence of marketing policies &amp; procedures"/>
    <s v="During our review, we noted that the policy &amp; procedures for Marketing and Call Centre is not in place._x000a_For effective and efficient operations and management, complete set of policies and procedures in line with the overall business strategy to be documented and approved as per authority matrix. Such policies may include (but are not limited to) areas relating to:_x000a_•_x0009_Customer care policy_x000a_•_x0009_Marketing/promotion policy_x000a_•_x0009_Pre and post evaluation mechanism for marketing campaigns _x000a_•_x0009_Product concept_x000a_•_x0009_Defined branding guidelines_x000a_•_x0009_Marketing tool/channels_x000a_•_x0009_Budgeted and non-budgeted items_x000a_•_x0009_Criteria initiating marketing campaigns _x000a_•_x0009_Prohibited marketing materials_x000a_•_x0009_Back up of customer calls/quality control review process."/>
    <s v="Comprehensive policies and procedures manual should be developed, approved, implemented by the management and updated on periodic basis."/>
    <s v="High"/>
    <s v="Policies &amp; Procedures"/>
    <s v="Business Development Manager"/>
    <d v="2022-06-30T00:00:00"/>
    <m/>
    <s v="Closed"/>
    <s v="-"/>
    <s v="Closed"/>
    <s v="Comprehensive marketing and call centre policy and procedures will be developed, approved and will be applied accordingly."/>
  </r>
  <r>
    <n v="105"/>
    <s v="BTC"/>
    <n v="2022"/>
    <s v="Marketing"/>
    <s v="Lead to Collection"/>
    <s v="Absence of approved marketing strategy and budget plan"/>
    <s v="During our review the following were noted:_x000a_•_x0009_Absence of approved and comprehensive marketing strategy for BTC._x000a_•_x0009_Absence of marketing plan and Budget for 2021._x000a_•_x0009_Absence of marketing calendar showing all events/campaigns for 2021._x000a__x000a_Further we noted that Marketing and Budget plan for the year 2020 is available but was not approved."/>
    <s v="•_x0009_Marketing head should define and frame marketing strategy and the same to be approved by CEO._x000a_•_x0009_Department should develop annual approved marketing plan and annual calendar in line with the Business Plan of the company._x000a_•_x0009_Department should develop annual budget which includes justification/rationale for budgeted amount considered for every events/campaigns. _x000a_•_x0009_Annual/Quarterly marketing budgets should be automated and tracked for any future variances."/>
    <s v="High"/>
    <s v="Policies &amp; Procedures"/>
    <s v="Business Development Manager"/>
    <d v="2022-06-30T00:00:00"/>
    <m/>
    <s v="Closed"/>
    <s v="-"/>
    <s v="Closed"/>
    <s v="Marketing strategy, budget and marketing calendar will be developed, approved, and applied accordingly."/>
  </r>
  <r>
    <n v="106"/>
    <s v="BTC"/>
    <n v="2022"/>
    <s v="Marketing"/>
    <s v="Lead to Collection"/>
    <s v="Significant weaknesses surrounding social media activities."/>
    <s v="During audit review, it was noted that BTC is using Social Media platforms like Facebook and Tweeter for marketing &amp; promotions. However, we noted that important controls are not in place on the areas/activities as follows:_x000a_•_x0009_Defined channels/ platform_x000a_•_x0009_Budget and allocations_x000a_•_x0009_Goal and Objective for each channel_x000a_•_x0009_Content strategy / policy_x000a_•_x0009_Target audience_x000a_•_x0009_Responsible official and their skill level_x000a_•_x0009_Profile consistency_x000a_•_x0009_Monitoring and Mechanism_x000a_•_x0009_Feedback and comment handling"/>
    <s v="Marketing department should develop required comprehensive controls and guidelines but not limited to the above highlighted areas."/>
    <s v="High"/>
    <s v="Operation"/>
    <s v="Business Development Manager"/>
    <d v="2022-06-30T00:00:00"/>
    <m/>
    <s v="Closed"/>
    <s v="-"/>
    <s v="Closed"/>
    <s v="Most of these controls are already in place but not documented, will enhance these controls relating to social media and will document them in social media policy as a part of overall marketing policy and procedures. "/>
  </r>
  <r>
    <n v="107"/>
    <s v="BTC"/>
    <n v="2022"/>
    <s v="Marketing"/>
    <s v="Lead to Collection"/>
    <s v="Absence of competition and marketing trend analysis"/>
    <s v="During Audit review, the below were noted:_x000a_•_x0009_Absence of marketing trend analysis conducted and performed to understand market trends &amp; demands and sustain competitive advantage._x000a_•_x0009_Absence of market share review, customer base and industry analysis_x000a_•_x0009_Absence of competition analysis, policy &amp; practice"/>
    <s v="•_x0009_Marketing department should perform market trend analysis, market share review and customer base and industry analysis to understand the market and industry trends &amp; customer demands."/>
    <s v="High"/>
    <s v="Operation"/>
    <s v="Business Development Manager"/>
    <d v="2022-06-30T00:00:00"/>
    <d v="2025-12-31T00:00:00"/>
    <s v="Open Due"/>
    <n v="1461"/>
    <s v="More than 2 Years"/>
    <s v="Market trend analysis, market share is mainly more relevant to spot business and will be considered if individual rental (Spot) has been activated again.  For lease business we will consider the possibility, availability of relevant data and resources required to perform the market trend analysis, market share and industry analysis."/>
  </r>
  <r>
    <n v="108"/>
    <s v="BTC"/>
    <n v="2022"/>
    <s v="Marketing"/>
    <s v="Lead to Collection"/>
    <s v="No mechanism for complaint handing of lease customers"/>
    <s v="During IA review it was noted that:_x000a_•_x0009_There is no mechanism for lease customer complaints and their root cause analysis _x000a_•_x0009_There is no complain record available and provided for year 2021 for lease customers."/>
    <s v="•_x0009_All customer complaints/calls should be recorded and resolved on timely basis._x000a_•_x0009_Calls should be reviewed by contact center head on a monthly basis and root because analysis should be performed on customer complaints. Outcome of root cause to be discussed with head of department and appropriate action should be taken"/>
    <s v="High"/>
    <s v="Policies &amp; Procedures"/>
    <s v="Business Development Manager"/>
    <d v="2022-06-30T00:00:00"/>
    <m/>
    <s v="Closed"/>
    <s v="-"/>
    <s v="Closed"/>
    <s v="Lease complaints are being handled by the operation department. We will develop a mechanism to record, and root cause analysis and periodic monitoring of complaints."/>
  </r>
  <r>
    <n v="109"/>
    <s v="BTC"/>
    <n v="2022"/>
    <s v="Marketing"/>
    <s v="Lead to Collection"/>
    <s v="Absence of branding, marketing and public relation activities"/>
    <s v="During IA review it was noted that no such branding and marketing activities are carried out for BTC:_x000a_•_x0009_Partnership/sponsorship of industry related government and private press and events_x000a_•_x0009_Advertisements in industry related magazine/brochures_x000a_•_x0009_Corporate social responsibility activities."/>
    <s v="Marketing Department should carry out marketing and branding activities on periodic basis, to show company’s existence in the market and to respond to changing dynamics of customer demand and community attention."/>
    <s v="Medium"/>
    <s v="Policies &amp; Procedures"/>
    <s v="Marketing Manager"/>
    <d v="2022-06-30T00:00:00"/>
    <m/>
    <s v="Closed"/>
    <s v="-"/>
    <s v="Closed"/>
    <s v="Partnerships/sponsorships and CSR normally requires a cost; we are placing advertisements in magazines where it is without cost. We will consider it in marketing budget 2022 and if relevant budgets are approved, we will participate in such events in future. "/>
  </r>
  <r>
    <n v="110"/>
    <s v="BTC"/>
    <n v="2022"/>
    <s v="Marketing"/>
    <s v="Lead to Collection"/>
    <s v="Absence of control over marketing material and activity"/>
    <s v="During IA review it was noted that:_x000a_•_x0009_There is no control mechanism to pre-approve marketing material published on social and other media._x000a_•_x0009_There is no defined practice for legal and compliance review of marketing material"/>
    <s v="•_x0009_Marketing &amp; communication material should be authorized &amp; approve_x000a_•_x0009_Training should be given to marketing team on which materials are allowed or prohibited to be published._x000a_•_x0009_List of prohibited material should be maintained and updated._x000a_•_x0009_Marketing materials should be published through head of marketing to be checked for any prohibited materials and to be approved afterwards._x000a_•_x0009_Marketing material should be reviewed by legal and compliance department"/>
    <s v="Medium"/>
    <s v="Policies &amp; Procedures"/>
    <s v="Marketing Manager"/>
    <d v="2022-06-30T00:00:00"/>
    <m/>
    <s v="Closed"/>
    <s v="-"/>
    <s v="Closed"/>
    <s v="Department will develop a control mechanism for review and approval of marketing material and activities, containing that Where marketing activity and material involved an offer having financial and legal impact that will be get approved from finance and legal departments as well.  "/>
  </r>
  <r>
    <n v="111"/>
    <s v="BTC"/>
    <n v="2022"/>
    <s v="Marketing"/>
    <s v="Lead to Collection"/>
    <s v="Absence of lease customer survey"/>
    <s v="During IA review it was noted that no customer survey (online/phone/form) is carried out for lease customers. For improving customer service and building customer relationship, such surveys should be carried out including (but not limited to) below areas:_x000a_•_x0009_Quality of Service_x000a_•_x0009_Timeliness of Service_x000a_•_x0009_Employee behavior_x000a_•_x0009_Timely response and resolution of complaints_x000a_•_x0009_Customer comments on improving services_x000a_•_x0009_Recommending BTC to other business partners/group companies."/>
    <s v="•_x0009_Customer survey form should be designed and developed and the same should be approved and applied._x000a_•_x0009_Periodic Customer survey should be carried out by marketing department for better understanding of customer needs and priorities to improve customer service and management decision making for business growth."/>
    <s v="Medium"/>
    <s v="Policies &amp; Procedures"/>
    <s v="Business Development Manager"/>
    <d v="2022-06-30T00:00:00"/>
    <m/>
    <s v="Closed"/>
    <s v="-"/>
    <s v="Closed"/>
    <s v="A mechanism will be developed and applied to perform, monitor, and record the lease customer survey, and correction actions taken based on survey results."/>
  </r>
  <r>
    <n v="112"/>
    <s v="BTC"/>
    <n v="2022"/>
    <s v="Marketing"/>
    <s v="Lead to Collection"/>
    <s v="Absence of governance mechanism for contact/call center"/>
    <s v="During Audit of call centre, we noted that there is no defined mechanism to control and monitor call centre activities. The following shortfall are identified:_x000a_•_x0009_Absence of approved written Script._x000a_•_x0009_Absence of quality assurance review for recorded calls._x000a_•_x0009_Absence of agent trainings."/>
    <s v="•_x0009_Contact centre staff must be provided with scripts for different scenarios. _x000a_•_x0009_Periodic assessment should be done, and new scripts/changes in existing scripts should be carried out._x000a_•_x0009_Business continuity plan and procedure must cover contact centre BCP locations, call trees and emergency procedures for contact centre_x000a_•_x0009_There must be regular review of customer calls that covers, nature of calls, action taken, level of customer satisfaction regarding the outcomes of calls, process efficiencies if any, and SLA near misses and breaches"/>
    <s v="Medium"/>
    <s v="Policies &amp; Procedures"/>
    <s v="Business Development Manager"/>
    <d v="2022-06-30T00:00:00"/>
    <m/>
    <s v="Closed"/>
    <s v="-"/>
    <s v="Closed"/>
    <s v="A written approved script is under development; we will also start monitoring the recorded calls for quality assurance on periodic basis."/>
  </r>
  <r>
    <n v="113"/>
    <s v="BTC"/>
    <n v="2022"/>
    <s v="Marketing"/>
    <s v="Lead to Collection"/>
    <s v="Absence of approved marketing and call center dept. Org. Structure"/>
    <s v="During IA review, it was noted that:_x000a_1._x0009_Approved organizational structure for marketing department is not available_x000a_2._x0009_Succession planning for key Marketing staff were not developed and available for review._x000a_3._x0009_No KPIs are defined, approved and communicated to key employees of the Marketing department._x000a_4._x0009_No proper specialized training program was developed and applied"/>
    <s v="•_x0009_Management should prepare org. structure, KPI &amp; Job description &amp; get it approved as per authority matrix, and communicate it to the staff_x000a_•_x0009_Annual training program should be defined and followed to ensure adequate training is given to marketing the team _x000a_•_x0009_Staff must be trained on regulations/norms relating to, and impacting their area of service"/>
    <s v="Medium"/>
    <s v="Org. structur, JD &amp; KPI's"/>
    <s v="Business Development Manager"/>
    <d v="2022-06-30T00:00:00"/>
    <d v="2025-12-31T00:00:00"/>
    <s v="Open Due"/>
    <n v="1461"/>
    <s v="More than 2 Years"/>
    <s v="Organization structure for marketing department will be developed and approved from management. KPIs and succession plan will also be developed and applied accordingly. An annual staff training programme will be developed and if it is approved from the management it will be executed accordingly."/>
  </r>
  <r>
    <n v="114"/>
    <s v="BTC"/>
    <n v="2022"/>
    <s v="Used Car Sales"/>
    <s v="Lead to Collection"/>
    <s v="Absence of comprehensive policies &amp; procedures "/>
    <s v="For effective and efficient operations and management, complete set of policies in line with the overall business strategy to be documented and approved as per authority matrix. Such policies may also include (but are not limited to) following areas relating to:_x000a_•_x0009_Arm-length transactions process (Related parties’ sales)_x000a_•_x0009_Bidding Lot Formation process_x000a_•_x0009_Warehouse Policy_x000a_•_x0009_Physical verification of stock vehicles_x000a_•_x0009_Reporting Framework_x000a_•_x0009_Used car aged stock criteria and related procedures"/>
    <s v="•_x0009_Comprehensive policies and procedures manual should be developed, approved, implemented, and updated on periodic basis._x000a_•_x0009_Policy &amp; procedures should also include the process related to sale to group companies/subsidiaries"/>
    <s v="High"/>
    <s v="Policies &amp; Procedures"/>
    <s v="Used Car Manager"/>
    <d v="2022-06-30T00:00:00"/>
    <m/>
    <s v="Closed"/>
    <s v="-"/>
    <s v="Closed"/>
    <s v="We are currently working on draft policy and procedures for Used Car Department. It will be finalized, approved and subsequently applied accordingly. "/>
  </r>
  <r>
    <n v="115"/>
    <s v="BTC"/>
    <n v="2022"/>
    <s v="Used Car Sales"/>
    <s v="Lead to Collection"/>
    <s v="Absence of approved job description &amp; KPIs"/>
    <s v="During IA review, it was noted that:_x000a_1._x0009_Job descriptions for key Used Car staff were developed but not approved &amp; communicated to employees._x000a_2._x0009_No KPIs are defined, approved, and communicated to key employees of the Used Car department."/>
    <s v="•_x0009_Management should define KPI &amp; Job description &amp; get it approved as per authority matrix and communicate it to the staff accordingly._x000a_•_x0009_Management should also develop and implement succession plan for key employees of the department"/>
    <s v="High"/>
    <s v="Org. structur, JD &amp; KPI's"/>
    <s v="Used Car Manager"/>
    <d v="2022-06-30T00:00:00"/>
    <m/>
    <s v="Closed"/>
    <s v="-"/>
    <s v="Closed"/>
    <s v="Department will develop Job descriptions and KPI for employees, get it approved from the Management and acknowledged from relevant staff."/>
  </r>
  <r>
    <n v="116"/>
    <s v="BTC"/>
    <n v="2022"/>
    <s v="Used Car Sales"/>
    <s v="Lead to Collection"/>
    <s v="Absence of charter and governance of used car sales committee"/>
    <s v="We noted that the Charter of UCS Sales Committee is not available. Roles &amp; responsibilities of committee members, approval limits, process of insertion &amp; removal of the committee members are not defined._x000a_It was noted that 3 out 5 committee members of Used Car Sale Committee have been left the organization for more than 6 months. However, new members have been added to the UCS committee but not documented &amp; formally approved by the management._x000a_It was also noted that minutes of the meetings were not recorded for all sales deals."/>
    <s v="•_x0009_A comprehensive Used Car Sales Committee Charter should be developed and approve as highlighted above._x000a_•_x0009_New/Active and experienced members should be added in the UCS committee after getting formal approval for higher management._x000a_•_x0009_Minutes of all the sales meeting should maintained by the UCS department."/>
    <s v="High"/>
    <s v="Org. structur, JD &amp; KPI's"/>
    <s v="Used Car Manager"/>
    <d v="2022-06-30T00:00:00"/>
    <m/>
    <s v="Closed"/>
    <s v="-"/>
    <s v="Closed"/>
    <s v="Management will nominate/form/establish two formal committees (Bid Opening Committee &amp; Used Car Sale Approval Committee) with all active members._x000a_Management will also ensure to develop comprehensive Used Car Sales Committee Charter and maintaining of all MOMs."/>
  </r>
  <r>
    <n v="117"/>
    <s v="BTC"/>
    <n v="2022"/>
    <s v="Used Car Sales"/>
    <s v="Lead to Collection"/>
    <s v="Financial loss due to batch-wise sale instead of single vehicle at highest prices."/>
    <s v="We noted that used car sales bids were awarded based on the highest quoted cumulative price of batch instead of highest prices quoted against each vehicle. _x000a_Internal audit has performed comparative analysis of all the bidding executed during the period January 2020 to August 2021 and observed that the bids were awarded based on highest quoted price of full batch instead of individual vehicle wise highest quoted prices._x000a_Due to this business practice, there is a loss of SAR (997,297) and SAR (409,881) for the years 2020 &amp; 2021 respectively as summarized in below table:"/>
    <s v="Management should consider used car sale based on Single vehicle-wise highest price instead of full batch highest price and should develop a monitoring mechanism to achieve the highest possible prices in the best interest of the company."/>
    <s v="High"/>
    <s v="Policies &amp; Procedures"/>
    <s v="Used Car Manager"/>
    <d v="2022-06-30T00:00:00"/>
    <m/>
    <s v="Closed"/>
    <s v="-"/>
    <s v="Closed"/>
    <s v="Based on discussion with higher management, it was decided that based on the lot conditions/ formation we will follow the recommended procedure along with current practice whichever is in the best interest of company.  "/>
  </r>
  <r>
    <n v="118"/>
    <s v="BTC"/>
    <n v="2022"/>
    <s v="Used Car Sales"/>
    <s v="Lead to Collection"/>
    <s v="Anomalies identified in internal used car evaluation process"/>
    <s v="Internal audit has reviewed Used car evaluation checklist on sample basis and identified following discrepancies considering absence of independent evaluation:_x000a_1._x0009_Used Car Evaluation form is not in line with the evaluation requirements as it highlights more towards rental inspection criteria rather than evaluation criteria for used vehicle. _x000a_2._x0009_It is not comprehensive and does not include following important evaluation criteria/parameters (but not limited to):_x000a_•_x0009_Engine condition_x000a_•_x0009_Gear Box condition_x000a_•_x0009_Air Conditioner_x000a_•_x0009_Body condition (Repainting)_x000a_3._x0009_No systematic point-based scoring/grading mechanism to determine the actual category of the vehicle (A, B, C &amp; F) as defined in their policy and procedures of used car department._x000a_4._x0009_No supervisory/second review and maker-checker control mechanism in place to validate the evaluation._x000a_5._x0009_Certain forms are identified are not properly filled and signed, incorrect categorization of vehicles._x000a_Refer Appendix 6 for further details"/>
    <s v="Management must ensure that the above identified gaps should be covered with adequate documentation and process enhancement."/>
    <s v="High"/>
    <s v="Policies &amp; Procedures"/>
    <s v="Used Car Manager"/>
    <d v="2022-06-30T00:00:00"/>
    <m/>
    <s v="Closed"/>
    <s v="-"/>
    <s v="Closed"/>
    <s v="As recommended, comprehensive evaluation of used car vehicle including score based system requires certain technical equipment having material cost. "/>
  </r>
  <r>
    <n v="119"/>
    <s v="BTC"/>
    <n v="2022"/>
    <s v="Used Car Sales"/>
    <s v="Lead to Collection"/>
    <s v="Non-compliance of authority matrix"/>
    <s v="It was observed that there is non-compliance of approved Authority matrix for preparation &amp; approval of Used cars pricing matrix._x000a_Authority matrix require to develop and approve vehicle pricing matrix on monthly basis whereas it was not prepared, approved, and applied by Used Car Department._x000a_Screenshot of related section of Authority matrix is as under:"/>
    <s v="•_x0009_Management should prepare Used Vehicle Pricing Matrix on monthly basis for all stock vehicles, get it approved, and applied accordingly. "/>
    <s v="High"/>
    <s v="Authority Matrix"/>
    <s v="Used Car Manager"/>
    <d v="2022-06-30T00:00:00"/>
    <d v="2024-12-31T00:00:00"/>
    <s v="Closed"/>
    <s v="-"/>
    <s v="Closed"/>
    <s v="Currently we are preparing the Sale Pricing matrix on yearly basis based on retirement plan for operational vehicles, however we will discuss with higher management the feasibility and periodicity of the same. Based on the instructions, it will be implemented accordingly."/>
  </r>
  <r>
    <n v="120"/>
    <s v="BTC"/>
    <n v="2022"/>
    <s v="Used Car Sales"/>
    <s v="Lead to Collection"/>
    <s v="Aged vehicles stock lying in warehouse"/>
    <s v="Internal audit has reviewed the used vehicle stocks currently available at Warehouses dated 08th Nov 2021_x000a_It was observed that there are 118 vehicles available in Used Car inventory. 18 vehicles with higher ageing ranging from 91 to 1170 days being identified &amp; available in warehouse locations. _x000a_Out of which 1 vehicle is lying more than 3 years. Ageing analysis details are as under:"/>
    <s v="•_x0009_Stock monitoring reports should be maintained &amp; shared with management on monthly basis identifying the vintage stocks._x000a_•_x0009_Used Car department should ensure prioritizing the old stock for early sales (on FIFO basis)"/>
    <s v="High"/>
    <s v="Operation"/>
    <s v="Used Car Manager"/>
    <s v="CLOSED"/>
    <m/>
    <s v="Closed"/>
    <s v="-"/>
    <s v="Closed"/>
    <s v="Used car stock aging report is submitted to higher management on monthly basis and we are using FIFO basis for used car sales. Currently there are no aged vehicles in the used cars stock for sale except 1 vehicle which is in the name of Alissa family. All the vehicles in stock yard for sales are under 90 days._x000a_IA Remarks: Validated and closed."/>
  </r>
  <r>
    <n v="121"/>
    <s v="BTC"/>
    <n v="2022"/>
    <s v="Used Car Sales"/>
    <s v="Lead to Collection"/>
    <s v="Vehicle sold but ownership not transferred"/>
    <s v="As per approved process of Used car sales, transfer of ownership must be performed within 1 month from the date of Sales Contract._x000a_Internal audit has performed review of invoiced vehicles, but ownership not transferred until 30th October 2021 and observed that 940 invoiced vehicles are pending for Ownership transfers. _x000a_Year-wise Used car sales details for Pending Ownership transfers are as under:"/>
    <s v="•_x0009_Periodic review of all invoiced vehicles with pending ownerships to be performed and share with management._x000a_•_x0009_Develop a mechanism to ensure that no delays to be occur in transferring ownership of vehicles to customers after invoicing."/>
    <s v="High"/>
    <s v="Operation"/>
    <s v="Used Car Manager"/>
    <d v="2022-06-30T00:00:00"/>
    <m/>
    <s v="Closed"/>
    <s v="-"/>
    <s v="Closed"/>
    <s v="We are in continuous follow-up with the customers for transferring of sold vehicles to customers, have also requested major customers like Autostar &amp; Insurance companies_x000a_We have also raised complain to BTC Legal department for traffic circulars (i.e., TAAMIM) against non-contactable customers pending for ownership transfers and so far we made traffic circulars on 20 vehicles and work is underway on the rest of the cars._x000a_For very old cases, we will coordinate with higher management and relevant departments to resolve on timely basis."/>
  </r>
  <r>
    <n v="122"/>
    <s v="BTC"/>
    <n v="2022"/>
    <s v="Used Car Sales"/>
    <s v="Lead to Collection"/>
    <s v="Used car standard contract not vetted by legal"/>
    <s v="Internal audit has performed review of standard sales contract document of used car. This contract/agreement is prepared &amp; signed between BTC &amp; Used Car Customer upon invoicing and final sale of used vehicles._x000a_It was observed that this standard version of sales contract was not vetted by the legal department to protect the company interests."/>
    <s v="•_x0009_Management should develop and implement a mechanism where; all standard contracts should be reviewed by the Legal Department to ensure the interests of BTC are adequately safeguarded."/>
    <s v="High"/>
    <s v="Policies &amp; Procedures"/>
    <s v="Used Car Manager"/>
    <d v="2022-06-30T00:00:00"/>
    <m/>
    <s v="Closed"/>
    <s v="-"/>
    <s v="Closed"/>
    <s v="We will coordinate the Legal department for the review and approval of the standard contract currently being followed. Any suggestions and clauses as per legal instructions will be incorporated and implemented accordingly."/>
  </r>
  <r>
    <n v="123"/>
    <s v="BTC"/>
    <n v="2022"/>
    <s v="Used Car Sales"/>
    <s v="Lead to Collection"/>
    <s v="Irregularities identified in used car sales contracts/agreements"/>
    <s v="Internal audit has reviewed Sale contracts/agreements on sample basis (14 sales bidding comprise of 686 units and amounting to SAR 20.86 million) for the years 2020 &amp; 2021 and observed following discrepancies"/>
    <s v="•_x0009_Management must ensure that the above identified gaps should be covered with adequate documentation at the time of sales."/>
    <s v="Medium"/>
    <s v="Operation"/>
    <s v="Used Car Manager"/>
    <d v="2022-06-30T00:00:00"/>
    <m/>
    <s v="Closed"/>
    <s v="-"/>
    <s v="Closed"/>
    <s v="We will review all the highlighted instances and enhance the process of documentations and archiving to collect and document all the necessary documents accordingly to ensure no such discrepancies occur in future."/>
  </r>
  <r>
    <n v="124"/>
    <s v="BTC"/>
    <n v="2022"/>
    <s v="Used Car Sales"/>
    <s v="Lead to Collection"/>
    <s v="Absence of periodic management reporting"/>
    <s v="During our review of the Used Cars process, we noted that there is no defined mechanism for periodic performance evaluation, monitoring &amp; reporting in place._x000a__x000a_Used Cars department is not preparing &amp; presenting the periodic performance monitoring reports (monthly/quarterly/annually) to the management. These reports may include but are not limited to the following:_x000a__x000a_1._x0009_Used Car Sales Report_x000a_2._x0009_Used Car Stock Report with Ageing_x000a_3._x0009_Used car status report_x000a_4._x0009_Planned sale vs actual sales report._x000a_5._x0009_Customer-wise Sales Concentration Report_x000a_6._x0009_List of vehicles invoiced but undelivered to customers with ageing_x000a_7._x0009_Pending ownership transfer vehicles_x000a_8._x0009_Monthly incentive report."/>
    <s v="•_x0009_A formal, documented performance measurement &amp; monitoring process, including at least the above listed reports should be developed to enable assessment of the efficiency and effectiveness of the Used Car Department, to support management decision making."/>
    <s v="Medium"/>
    <s v="Policies &amp; Procedures"/>
    <s v="Used Car Manager"/>
    <d v="2022-06-30T00:00:00"/>
    <d v="2024-12-31T00:00:00"/>
    <s v="Open Due"/>
    <n v="1461"/>
    <s v="More than 2 Years"/>
    <s v="Most of the reports/data are already shared with the management on monthly basis or when requested by management.  We will prepare and submit the required necessary reports to higher management on periodic basis."/>
  </r>
  <r>
    <n v="125"/>
    <s v="BTC"/>
    <n v="2022"/>
    <s v="Finance (Accounts Receivables)"/>
    <s v="Lead to Collection"/>
    <s v="Outdated credit policy and procedures"/>
    <s v="Based on review of Credit policy and procedure, the following points were noted:_x000a_•_x0009_Credit policies are outdated as no revision done since 2015 and are not in line with current business practices and requirements. _x000a_•_x0009_Credit approval limits given in existing policy are inconsistent with approved DoA: _x000a_Below is the instance:"/>
    <s v="Comprehensive credit policies and procedures which are in line business practice, and DOA should be developed, approved, implemented and updated on periodic basis."/>
    <s v="High"/>
    <s v="Policies &amp; Procedures"/>
    <s v="CFO"/>
    <d v="2022-06-30T00:00:00"/>
    <m/>
    <s v="Closed"/>
    <s v="-"/>
    <s v="Closed"/>
    <s v="We already updated and finalized credit policy and its submitted to executive committee for their review and approval and BOD approval accordingly."/>
  </r>
  <r>
    <n v="126"/>
    <s v="BTC"/>
    <n v="2022"/>
    <s v="Finance (Accounts Receivables)"/>
    <s v="Lead to Collection"/>
    <s v="Non adherence of credit policy and procedures"/>
    <s v="During Audit review it was noted that approved credit policy and procedures are not being adhered._x000a_As per chapter 11 of credit policy, certain documents are required from Lease credit customers for evaluation and approval of credit. We reviewed 10 sample files of credit customers and noted the following discrepancies:_x000a_1)_x0009_In 10/10 customer’s files, 3-month advance payment and 8-month promissory notes were not obtained and attached._x000a_2)_x0009_In 10/10 customer’s files, 3 years audited financial statements are not obtained and reviewed._x000a_3)_x0009_In 5/10 customer’s files, 6-month bank statements were not obtained and reviewed._x000a_4)_x0009_In 6/10 customers Bayan credit bureau clearance document were not attached in files._x000a_5)_x0009_In 4/10 files, Owner ID’s were not obtained and attached in files._x000a_6)_x0009_In 4/10 files, National address and location Maps were not obtained and attached in files._x000a_7)_x0009_In 7/10 Customer files, customer site visit report was not found._x000a_8)_x0009_In 3/10 files, VAT certificates were not obtained._x000a_9)_x0009_In 2/10 files, Credit applications were not signed by customers._x000a_10)_x0009_In 5/10 customer’s files, Credit account letter were not found._x000a_11)_x0009_In 5/10 customer’s files, Company founding Contract were not obtained and attached._x000a_For details of above instances, please see Appendix 1 &amp; 2_x000a_Further, we noted that credit customer required documents checklist is not in line with current business requirements and comprehensive as below documents are not included:_x000a_1)_x0009_Bayan Credit bureau_x000a_2)_x0009_Bank Guarantee"/>
    <s v="•_x0009_Credit policy and procedures must be followed in order to have controls in place and avoid any financial implications._x000a_•_x0009_Credit checklist should be updated in line with business practice and requirements and comprehensive._x000a_•_x0009_All the required documents should be obtained, reviewed and attached in credit files of lease customers for any future reference."/>
    <s v="High"/>
    <s v="Operation"/>
    <s v="CFO"/>
    <d v="2022-06-30T00:00:00"/>
    <m/>
    <s v="Closed"/>
    <s v="-"/>
    <s v="Closed"/>
    <s v="Most of the above shortfalls are approved by CEO as exception at the time of credit approval and Certain client refused to provide certain documents at the time of credit assessment._x000a_Updating the credit checklist, to make it more comprehensive, relevant and practical, is under process and submitted to executive committee as part of credit policy for the review and approval. After approval it will be applied accordingly."/>
  </r>
  <r>
    <n v="127"/>
    <s v="BTC"/>
    <n v="2022"/>
    <s v="Finance (Accounts Receivables)"/>
    <s v="Lead to Collection"/>
    <s v="Non adherence of collection policies and procedures"/>
    <s v="Based on IA review, it was noted that Collection policies and procedures are not being adhered in certain areas._x000a_As per collection policy section 5.3 and 5.4 as copied below, if payment is not made in 90 days and in an additional 30 days, then this account shall be transferred to legal department._x000a_ _x000a_We noted that, Dome Water Co. has a balance of SAR 233,705 outstanding for more than 6 months but still the customer is not transferred to legal dept."/>
    <s v="Collection policy and procedures must be  followed in order to have controls in place and avoid any financial implications."/>
    <s v="High"/>
    <s v="Operation"/>
    <s v="CFO"/>
    <d v="2022-06-30T00:00:00"/>
    <m/>
    <s v="Closed"/>
    <s v="-"/>
    <s v="Closed"/>
    <s v="-_x0009_For the customer Dome Water, they submitted schedule payment letter to settle all the pending outstanding after receiving financial funding from the owner._x000a_-_x0009_The current credit policy is not in line with the business practice and requirements, revision and updating is under process and updated credit policy is under review of executive committee."/>
  </r>
  <r>
    <n v="128"/>
    <s v="BTC"/>
    <n v="2022"/>
    <s v="Finance (Accounts Receivables)"/>
    <s v="Lead to Collection"/>
    <s v="Long aged account receivable and manual aging report"/>
    <s v="During IA review, of Receivable ageing the below long aged receivables were noted that requires immediate management attention for review and sufficient provisioning:_x000a_1._x0009_As at 30 Nov 2021, accounts receivable balance one year and above is 52.18 M SAR, which is 48% of the total receivables balance of 109.5 M SAR._x000a_ _x000a_On the review of Customers with highest balances, for 3 years and above, it was noted that:_x000a__x000a_•_x0009_There are two clients for which there are no supporting documents to proceed with legal case._x000a_•_x0009_Al Aman Co. is bankrupt_x000a__x000a_2._x0009_Accounts receivable ageing is prepared manually on excel sheet, as there is no system generated aging report available for any specific required point of time._x000a__x000a_•_x0009_There are certain errors identified in manual aging report provided for IA review. Customers names are not matching with their code and outstanding balances. Instances are as under:"/>
    <s v="•_x0009_Based on the above findings Receivable balances should be reassessed by finance department with assistance of higher management and legal department, and should be considered for write off accordingly.  _x000a_•_x0009_Accounts Receivable ageing report should be generated through system for accuracy and reliability. "/>
    <s v="High"/>
    <s v="System &amp; Application"/>
    <s v="CFO"/>
    <d v="2022-06-30T00:00:00"/>
    <m/>
    <s v="Closed"/>
    <s v="-"/>
    <s v="Closed"/>
    <s v="All longed aged account receivables are under legal proceedings, Finance department with the coordination of higher management and legal department will review the receivables for their possibility of recovery. And will take the appropriate actions with the approval of higher management about the long aged account receivables._x000a_For B0007530, it is an accidental error happened with only one customer. Finance department will coordinate with the IT department to generate system based aging report to avoid such errors and omissions."/>
  </r>
  <r>
    <n v="129"/>
    <s v="BTC"/>
    <n v="2022"/>
    <s v="Finance (Accounts Receivables)"/>
    <s v="Lead to Collection"/>
    <s v="Improper accounting treatment of customer receipts, building up material unnecessary account balance."/>
    <s v="During our review, IA noted the followings:_x000a_•_x0009_A trial balance account # 110301104 “Unallocated Receipts” is used to record the receipts form customers as intermediary account while receipts are not recorded in Receivables account as normal accounting procedure.  _x000a_Balance in Unallocated receipts accounts as at 30 Nov. 2021 is as under:_x000a__x000a_•_x0009_The name of account is misleading as unallocated receipts, whereas at submodule level these receipts are recorded based on individual known customers, and it will be building up huge balance that will not ends up._x000a_•_x0009_Further, there is no receipts recording in CAR Pro in case of lease rentals."/>
    <s v="•_x0009_Receipts should be matched against related invoices to allocate against invoices in Customer Receivable account in a regular manner._x000a_•_x0009_There should be no such middle account like Unallocated receipts for customer receipts._x000a_•_x0009_Receipts should be recorded in bank accounts and then allocated to respective Customer receivables account."/>
    <s v="High"/>
    <s v="Operation"/>
    <s v="CFO"/>
    <s v="CLOSED"/>
    <m/>
    <s v="Closed"/>
    <s v="-"/>
    <s v="Closed"/>
    <s v="This issue is resolved as the implementation of new system Microsoft Dynamic.  We stop this practice and new system and trail balance is not showing and using such type of intermediately account._x000a_IA Remarks: Validated and Closed."/>
  </r>
  <r>
    <n v="130"/>
    <s v="BTC"/>
    <n v="2022"/>
    <s v="Finance (Accounts Receivables)"/>
    <s v="Lead to Collection"/>
    <s v="High debtor turn over days &amp; receivables to sales ratio"/>
    <s v="During IA review, it was noted that, _x000a_1._x0009_Company has a high Receivable to Sales ratio of 29% in 2019 and 42% in 2020. Whereas the industry competitors Budget and Theeb has the same ratio for 2019 and 2020 ranging from 14% – 18%._x000a_The Below table show the detail calculation and industry comparison: _x000a__x000a_2._x0009_Further noted that the average number of days to receive payments against outstanding invoices are very high, having negative effect on company’s cash flow and liquidity. The avg. debtor turnover days in 2019 were 108 days and in 2020 it increased to 138 days. Whereas the industry competitors Budget and Theeb have average debtor days ranging from 49 – 60 days._x000a_The Below table show the detail calculation and industry comparison: "/>
    <s v="•_x0009_Management should implement approved collection policy more actively and define mechanism to reduce collection period of invoices to a minimum level."/>
    <s v="High"/>
    <s v="Policies &amp; Procedures"/>
    <s v="CFO"/>
    <d v="2022-06-30T00:00:00"/>
    <m/>
    <s v="Closed"/>
    <s v="-"/>
    <s v="Closed"/>
    <s v="Best Management Choose to focus on Corporate long lease which result in collecting 105% of 2021 Invoices. The above ratios are not favourable because of old accounts that are already transferred to legal. Old business accounts need to reassessed with coordination of higher management and legal department and corresponding appropriate actions should be taken to clean the receivables with the approval of higher management."/>
  </r>
  <r>
    <n v="131"/>
    <s v="BTC"/>
    <n v="2022"/>
    <s v="Finance (Accounts Receivables)"/>
    <s v="Lead to Collection"/>
    <s v="Absence of customer receivable monitoring mechanism"/>
    <s v="During IA review, the following were noted:_x000a_•_x0009_Customer statement of account cannot be generated through system._x000a_•_x0009_Monthly /periodic statement of accounts are not sent to customers._x000a_•_x0009_No practice to obtain balance confirmation from key customer on periodic basis, and to prepare reconciliations in case of any difference"/>
    <s v="•_x0009_Statement of account should be generated through system instead of manually._x000a_•_x0009_Individual customer statement of account should be generated through system and will be distributed to key customers on monthly basis. _x000a_•_x0009_Periodic balance confirmations should be circulated and obtained for key customers. Any differences identified should be reconciled on timely basis."/>
    <s v="High"/>
    <s v="Policies &amp; Procedures"/>
    <s v="CFO"/>
    <d v="2022-06-30T00:00:00"/>
    <m/>
    <s v="Closed"/>
    <s v="-"/>
    <s v="Closed"/>
    <s v="This is one of our challenges on the old system due to the system weaknesses. Which putting an extra burden on the finance &amp; collection department._x000a_Finance department will coordinate with IT department for issuance of system based statement of account and will start circulating statement of accounts with balance confirmation requests to key customers for validity of account receivable balances on half yearly basis."/>
  </r>
  <r>
    <n v="132"/>
    <s v="BTC"/>
    <n v="2022"/>
    <s v="Finance (Accounts Receivables)"/>
    <s v="Lead to Collection"/>
    <s v="Delay in lease rental invoicing"/>
    <s v="During IA review of lease rental invoices, it was noted that there is delay ranging from 0-135 days in monthly invoicing to customers for lease vehicles. _x000a_Below are the instances:"/>
    <s v="Management should develop and apply a mechanism to invoice customers on timely manner and monitor it accordingly."/>
    <s v="High"/>
    <s v="Operation"/>
    <s v="CFO"/>
    <d v="2022-06-30T00:00:00"/>
    <m/>
    <s v="Closed"/>
    <s v="-"/>
    <s v="Closed"/>
    <s v="The delay in the invoicing because of the agreements for the vehicles not open in the system and records are maintained on manual basis separately. The Procurements department refuse to give dealer confirmation in the system. This point is very important and finance department has already highlighted this issue with higher management to resolve it on priority basis we are following this with higher management to resolve."/>
  </r>
  <r>
    <n v="133"/>
    <s v="BTC"/>
    <n v="2022"/>
    <s v="Finance"/>
    <s v="Record to Report"/>
    <s v="Absence of finance department policies and procedures."/>
    <s v="During our review we noted the absence of finance departmental policies and procedures. Moreover, existing policies and procedures are outdated._x000a_ Financial policies and procedures include (but not limited to): _x000a_•_x0009_Accounting policies &amp; procedures_x000a_•_x0009_Budget policies &amp; procedures_x000a_•_x0009_Accounts receivable and provision policy &amp; procedure_x000a_•_x0009_Accounts payable policy &amp; procedures _x000a_•_x0009_Fixed asset policies &amp; procedures_x000a_•_x0009_Financial reporting policies &amp; procedures_x000a_•_x0009_Dividends policies &amp; procedures_x000a_•_x0009_Revenue assurance policy_x000a_•_x0009_Cost management policies &amp; procedures_x000a_•_x0009_Periodic closure of accounting system_x000a_•_x0009_Treasury &amp; fund management policy &amp; procedures_x000a_•_x0009_Costing and pricing policy &amp; procedures  _x000a_•_x0009_Vat &amp; zakat policy &amp; procedures_x000a_•_x0009_Credit and collections policy &amp; procedures_x000a_•_x0009_Petty cash policy and procedures_x000a_•_x0009_Chart of Account maintenance_x000a_•_x0009_Access authorization_x000a_•_x0009_Manual entries_x000a_•_x0009_Intercompany cost allocation _x000a_•_x0009_IFRS changes &amp; GAP Analysis_x000a_•_x0009_Mapping TB to financial statements_x000a_•_x0009_Communication with regulator_x000a_•_x0009_Archiving and retention_x000a_•_x0009_BCP and DRP"/>
    <s v="•_x0009_Management should develop, update &amp; communicate comprehensive policies and procedures that support accurate, efficient, and timely reporting covering all business aspects along with the financial department activities that follow applicable accounting standards, laws, and regulations._x000a_•_x0009_Management should document the updating procedures for the finance manual and refresh on an annual basis at the minimum._x000a_•_x0009_Management should update the accounting policy manual to comply with IFRS and cover the accounting related aspects originating from all processes within the organization."/>
    <s v="High"/>
    <s v="Policies &amp; Procedures"/>
    <s v="CFO"/>
    <d v="2022-12-31T00:00:00"/>
    <m/>
    <s v="Closed"/>
    <s v="-"/>
    <s v="Closed"/>
    <s v="An external consultant has been hired by AAGH Group management for the development of policies and procedures, same will be approved and applied accordingly. "/>
  </r>
  <r>
    <n v="134"/>
    <s v="BTC"/>
    <n v="2022"/>
    <s v="Finance"/>
    <s v="Record to Report"/>
    <s v="Inadequate financial closing checklist and cutoff| period closure"/>
    <s v="During review of the financial statement closing procedures, it was noted that there is no approved checklist and related procedures that is being used by the management for monthly, quarterly, and annually closing._x000a_However, an email instruction was provided to staff by chief accountant for monthly closing and we noted that it is limited to GL accounts and does not include critical items such as:_x000a__x0009_IFRS checklist (including all applicable IFRS, accrual, fixed asset, revenue, presentation of FS, disclosure, Subsequent events review process…etc.)_x000a__x0009_Journal entry review process (including manual entries, Systematic entry, posting, sequences, authorized person…etc.)_x000a__x0009_Trial balance review process and closing procedures (including suspense accounts, clearing accounts, error accounts, long aged accounts, comparison with previous period... etc.)_x000a__x0009_Written and approved procedures for cutoff| period closure._x000a__x0009_Written and approved escalation procedures to ensure compliance with the timeline._x000a__x0009_Agreement with ERP and IT team regarding closure/freeze of general ledger with regarding the financial period cut-off/close_x000a__x0009_Timelines are mentioned for each closing activity."/>
    <s v="Management should adopt a comprehensive approved closing checklist to mitigate inaccurate reporting, ensure proper closing of books and ensure adherence to local GAAP (IFRS)."/>
    <s v="High"/>
    <s v="Policies &amp; Procedures"/>
    <s v="CFO"/>
    <d v="2022-12-31T00:00:00"/>
    <m/>
    <s v="Closed"/>
    <s v="-"/>
    <s v="Closed"/>
    <s v="Financial closing checklist will be developed along with the policies and procedures, and IT will be aligned for cutoff date &amp; closure related controls. Same will be approved and applied accordingly. "/>
  </r>
  <r>
    <n v="135"/>
    <s v="BTC"/>
    <n v="2022"/>
    <s v="Finance"/>
    <s v="Record to Report"/>
    <s v="Absence of regulatory compliance procedures"/>
    <s v="During review it was not that there is no defined procedures and assignment of responsibility to ensure regulatory compliance._x000a_There is no mechanism in place to track and monitor new and changes to existing regulations, which impact finance processes like regulatory reporting."/>
    <s v="•_x0009_Management should develop and implement a comprehensive approved procedure for finance related regulatory requirements and compliance._x000a_•_x0009_Management should ensure assigning the responsibility to dedicated staff for compliance to regulatory requirements."/>
    <s v="High"/>
    <s v="Policies &amp; Procedures"/>
    <s v="CFO"/>
    <d v="2022-12-31T00:00:00"/>
    <m/>
    <s v="Closed"/>
    <s v="-"/>
    <s v="Closed"/>
    <s v="Regulatory related compliances like IFRS, VAT, GAZT etc. are taken care by external parties like external auditors, advisories, Group Management etc. _x000a_However, Management will ensure that Policy &amp; procedures related to regulatory changes will be develop as a part of overall policy &amp; procedures of finance department."/>
  </r>
  <r>
    <n v="136"/>
    <s v="BTC"/>
    <n v="2022"/>
    <s v="Finance"/>
    <s v="Record to Report"/>
    <s v="Absence of approved escalation procedures"/>
    <s v="During review of financial statement closing procedures, it was noted that there is no written and approved escalation procedure in place that is being used by the management for monthly, quarterly, and annually closing._x000a_Management should develop comprehensive escalation procedure including timelines, roles, and responsibilities, to be followed in case of delay for all closing activities related to FS preparation i.e., review of IFRS, accruals, fixed asset, revenue, presentation of FS, disclosure, Subsequent events, Journal entry, Trial balance etc. "/>
    <s v="Management should develop, approve, and implement escalation procedure, that is, to be followed in case of delay for all closing activities related to FS preparation to ensure completion within the timelines agreed."/>
    <s v="High"/>
    <s v="Policies &amp; Procedures"/>
    <s v="CFO"/>
    <d v="2022-12-31T00:00:00"/>
    <m/>
    <s v="Closed"/>
    <s v="-"/>
    <s v="Closed"/>
    <s v="Escalation procedures will be covered under Policy &amp; Procedures assignment to external consultant. Same will be approved &amp; applied accordingly."/>
  </r>
  <r>
    <n v="137"/>
    <s v="BTC"/>
    <n v="2022"/>
    <s v="Finance"/>
    <s v="Record to Report"/>
    <s v="Absence of department organization structure"/>
    <s v="During our review, we noted that:_x000a_1._x0009_Approved organizational structure for the Finance department is not available._x000a_2._x0009_Approved Job descriptions plan for key Finance Department staff were not developed and available for review._x000a_3._x0009_No KPIs are defined, approved, and communicated to key employees of the Finance Department."/>
    <s v="•_x0009_Management should prepare Org. structure &amp; Succession plan get it approved as per authority matrix and communicate it to the staff._x000a_•_x0009_Management should define KPI &amp; Job description &amp; get it approved annually as per authority matrix and communicate it to the staff."/>
    <s v="High"/>
    <s v="Org. structur, JD &amp; KPI's"/>
    <s v="CFO"/>
    <d v="2022-12-31T00:00:00"/>
    <d v="2024-12-31T00:00:00"/>
    <s v="Open Due"/>
    <n v="1277"/>
    <s v="More than 2 Years"/>
    <s v="Department with the coordination of HR will develop organizational structure, job description and KPIs of the department key employees."/>
  </r>
  <r>
    <n v="138"/>
    <s v="BTC"/>
    <n v="2022"/>
    <s v="Finance"/>
    <s v="Record to Report"/>
    <s v="Absence of succession plan and staff training"/>
    <s v="During our review, we noted that:_x000a_1._x0009_Approved succession plan for key Finance Department staff were not developed and available for review._x000a_2._x0009_No training has been conducted for Finance team &amp; have not attended any professional trainings, courses or seminars relating to IFRS changes, VAT and Zakat or any skills management and enhancement trainings."/>
    <s v="•_x0009_The management should develop a detailed comprehensive succession plan that should address, at minimum, the following: _x000a__x0009_The key positions and functions to be covered. _x000a__x0009_The timeliness of coverage during the transition period. _x000a__x0009_The positions and time that could temporarily cover for the vacant positions. _x000a__x0009_Skills and qualifications required for each position._x000a_•_x0009_Department ensure to develop a comprehensive training program for employees, training calendar is reviewed by the Departmental Head and approved by the senior management and training budgets are prepared based on the annual training calendar"/>
    <s v="High"/>
    <s v="Policies &amp; Procedures"/>
    <s v="CFO"/>
    <d v="2022-12-31T00:00:00"/>
    <d v="2024-12-31T00:00:00"/>
    <s v="Open Due"/>
    <n v="1277"/>
    <s v="More than 2 Years"/>
    <s v="Departmental succession planning will be prepared and applied._x000a_No training plan available as of now and management is not in a position to arrange external training programs._x000a_However, relevant on-job trainings will be arranged/documented for finance staff."/>
  </r>
  <r>
    <n v="139"/>
    <s v="BTC"/>
    <n v="2022"/>
    <s v="Finance"/>
    <s v="Record to Report"/>
    <s v="Pending Insurance Claims"/>
    <s v="During our review, it was noted that there are pending receivable insurance claims amounting to SAR 2.6 million for the previous years. These claims are related to the Med gulf Insurance company from the period 2020 – 2022."/>
    <s v="•_x0009_Management should ensure rigorous follow-ups performed by Insurance dept. to settle pending claims for collection._x000a_•_x0009_Ensure periodic review by management of all pending claims and progressive status."/>
    <s v="High"/>
    <s v="Operation"/>
    <s v="CFO"/>
    <d v="2022-12-31T00:00:00"/>
    <m/>
    <s v="Closed"/>
    <s v="-"/>
    <s v="Closed"/>
    <s v="We have escalated all pending Insurance receivables to Legal department dated 27-Mar-2022 and case is with them for further action. Follow-ups will be performed periodically."/>
  </r>
  <r>
    <n v="140"/>
    <s v="BTC"/>
    <n v="2022"/>
    <s v="Finance"/>
    <s v="Record to Report"/>
    <s v="Inactive vehicles insured under new policy inception"/>
    <s v="During audit review we noted the following_x000a__x000a_1._x0009_It was observed that Inactive vehicles were insured under the new policy for the period March 2022 - Feb 2023. These vehicles belong to following statuses in system like Sold, Stolen, &amp; Sale Cycle 2 &amp; 3 (under Used Cars)._x000a__x000a_2._x0009_It was also noted that there are very old vehicles ranging from year 2006 to 2015 were insured under the new policy. These vehicles belong to following statuses like Ready, Rented &amp; Out of Service._x000a_"/>
    <s v="•_x0009_Management should adopt a comprehensive procedures of reconciling active fleet records with physical availability prior to insuring the vehicles_x000a_•_x0009_Maker-Checker policy &amp; FPR (First Person Responsible)/SPR (Second Person Responsible) to be introduced to perform this activity with at most efficiency &amp; reliability._x000a_•_x0009_Reconciliation to be performed on periodic basis between active fleet and insured vehicles"/>
    <s v="High"/>
    <s v="Operation"/>
    <s v="CFO"/>
    <d v="2023-02-28T00:00:00"/>
    <m/>
    <s v="Closed"/>
    <s v="-"/>
    <s v="Closed"/>
    <s v="We will review all the highlighted vehicles in current policy and delete insurance accordingly. We will also check the physical availability of old vehicles and take necessary action. Going forward, we will reduce the cutoff period for insurance of the vehicles during inception and will share the latest fleet to insurance company."/>
  </r>
  <r>
    <n v="141"/>
    <s v="BTC"/>
    <n v="2022"/>
    <s v="Finance"/>
    <s v="Record to Report"/>
    <s v="Delay in financial statement preparation"/>
    <s v="During our review of the process of financial statements preparation, we noted that there is a significant delay in closing the accounting period after issuing the financial statements._x000a_For example, financial year ended 31 December 2020 was closed in the system during the month of August, where the financial statement was issued on 6th May 2021._x000a_It was also noted that chief accountant has right to reopen the closed period without approval of CFO/Finance Manager."/>
    <s v="•_x0009_Management should close the financial period at the financial statement’s issuance date in the ERP._x000a_•_x0009_Opening of closed period must be subject to approval of CFO."/>
    <s v="High"/>
    <s v="Policies &amp; Procedures"/>
    <s v="CFO"/>
    <d v="2022-12-31T00:00:00"/>
    <m/>
    <s v="Closed"/>
    <s v="-"/>
    <s v="Closed"/>
    <s v="As we have new system Dynamics 365 which is familiar with the staff now and other necessary control measures like timely closing of period, timely review and analysis, accounting entries, reconciliation etc. will be taken care accordingly. We are also gradually reducing monthly closing lead time as staff is getting more familiar with the new system."/>
  </r>
  <r>
    <n v="142"/>
    <s v="BTC"/>
    <n v="2022"/>
    <s v="Finance"/>
    <s v="Record to Report"/>
    <s v="Delay in financial statement submission to GAZT"/>
    <s v="During review it was noted that financial statements are audited and submitted to zakat a tax authority with considerable delay and after the regulatory due date as shown below:"/>
    <s v="•_x0009_Management should finalize and plan audit of financial statements on timely manner and submit it to GAZT on or before the last date of submission."/>
    <s v="High"/>
    <s v="Policies &amp; Procedures"/>
    <s v="CFO"/>
    <d v="2022-12-31T00:00:00"/>
    <m/>
    <s v="Closed"/>
    <s v="-"/>
    <s v="Closed"/>
    <s v="As we have new system Dynamics 365 which is familiar with the staff now and other necessary control measures like timely closing of period, timely review and analysis, accounting entries, reconciliation etc. will be taken care accordingly. We are also gradually reducing monthly closing lead time as staff is getting more familiar with the new system. Further, delays were observed due to some matters/adjustments pending with external auditors."/>
  </r>
  <r>
    <n v="143"/>
    <s v="BTC"/>
    <n v="2022"/>
    <s v="Finance"/>
    <s v="Record to Report"/>
    <s v="Weakness in petty cash governance"/>
    <s v="During our review of petty cash process and transactions, we noted the followings:_x000a_•_x0009_Absences of approved petty cash policy and procedures. Petty cash policy shall include at least the followings:_x000a_b)_x0009_List of allowed expenses from petty cash._x000a_c)_x0009_Limit on maximum single payment._x000a_•_x0009_No periodic review/verification of petty cash limits_x000a_•_x0009_Petty cash limits granted to employees are very high and need to be reviewed based on their monthly average expenses._x000a_•_x0009_Absence of mechanism and practice for surprise cash count and related procedures. _x000a_•_x0009_Absence of mechanism to monitor new issuance and closing of petty cash funds._x000a_•_x0009_Petty cash accounts showing the amount of SAR. 15,000 relating to an employee terminated in 2014._x000a_•_x0009_Absence of Authorization letters for new petty cash issuance in 2020-21 to employees."/>
    <s v="•_x0009_Management should develop and implement a comprehensive petty cash policy and procedures and apply accordingly._x000a_•_x0009_Petty cash limits should be reviewed based on business needs._x000a_•_x0009_Mechanism should be developed and implemented for surprise cash count and periodic confirmations."/>
    <s v="High"/>
    <s v="Policies &amp; Procedures"/>
    <s v="CFO"/>
    <d v="2022-12-31T00:00:00"/>
    <m/>
    <s v="Closed"/>
    <s v="-"/>
    <s v="Closed"/>
    <s v="Petty cash policy will be covered under Policy &amp; Procedures assignment to external consultant. Same will be approved &amp; applied accordingly. We will also take necessary action for above highlighted cases."/>
  </r>
  <r>
    <n v="144"/>
    <s v="BTC"/>
    <n v="2022"/>
    <s v="Finance"/>
    <s v="Record to Report"/>
    <s v="Aged reconciling bank items and bank reconciliation process not automated"/>
    <s v="During review of Bank reconciliations, the below were noted:_x000a_1)_x0009_There are unreconciled payments that are debited by bank (SAMBA 820) but are not recorded in books, appearing in Bank Reconciliation Statement (BRS) as of December 31, 2021, for Oct and Dec 2020, amounting to SAR 1,626,506._x000a_2)_x0009_Bank Reconciliation Statements (BRS) are prepared in manual spreadsheets."/>
    <s v="•_x0009_There should be rigorous follow up by BTC finance to clear unreconciled items_x000a_•_x0009_In consultation with the IT department, preparation of BRS in system should be enabled in system, so the process can be automated, and manual intervention to be minimized."/>
    <s v="High"/>
    <s v="Operation"/>
    <s v="CFO"/>
    <d v="2022-12-31T00:00:00"/>
    <m/>
    <s v="Closed"/>
    <s v="-"/>
    <s v="Closed"/>
    <s v="•_x0009_We will coordinate with group finance department for clearing the unreconciling entries as highlighted._x000a_•_x0009_No system integration between bank and dynamics software hence, unable to prepare system BRS. It will be considered in next phase of implementation."/>
  </r>
  <r>
    <n v="145"/>
    <s v="BTC"/>
    <n v="2022"/>
    <s v="Finance"/>
    <s v="Record to Report"/>
    <s v="Inadequate controls over intercompany transactions"/>
    <s v="During audit review we noted the followings:_x000a_•_x0009_There is no policy, defined mechanism, and practice to confirm and reconcile intercompany balance on periodic basis. (Monthly, Quarterly, semiannual basis)._x000a_•_x0009_There is no balance confirmation and reconciliation available with respect to related parties/intercompany transactions as of December 31, 2021. _x000a_•_x0009_There are no separate sub-ledgers for each related company. The record of transactions is maintained manually in spreadsheets for confirmation purposes._x000a_•_x0009_No aging report for internal company balances is available for review._x000a_•_x0009_There is no approved procedure in place and applied for intercompany transactions approval and authorization._x000a_•_x0009_There is no approved escalation matrix for exceptions and procedures for resolution of exceptions._x000a_The net balance receivable from related parties is approximately SAR 8 million."/>
    <s v="•_x0009_A comprehensive mechanism should be developed to verify, confirm, and reconcile intercompany balance confirmations _x000a_•_x0009_Balance confirmation should be obtained from group companies at regular intervals specially at year-end._x000a_•_x0009_Reconciliations should be prepared, reviewed, and signed off in case there is any difference in the amount confirmed by counter party and that recorded in ledger._x000a_•_x0009_In collaboration with IT department, individual sub-ledgers should be configured in Oracle to ensure the accurate party-wise balance reporting from system._x000a_•_x0009_Develop procedure for approval and authorization of intercompany transactions_x000a_•_x0009_Develop escalation procedures and matrix for intercompany transactions discrepancies and exceptions_x000a_•_x0009_Clear the long-aged intercompany transaction balance."/>
    <s v="High"/>
    <s v="Policies &amp; Procedures"/>
    <s v="CFO"/>
    <d v="2022-12-31T00:00:00"/>
    <m/>
    <s v="Closed"/>
    <s v="-"/>
    <s v="Closed"/>
    <s v="Intercompany related procedures and escalations will be covered under Policy &amp; Procedures assignment to external consultant. Same will be approved &amp; applied accordingly."/>
  </r>
  <r>
    <n v="146"/>
    <s v="BTC"/>
    <n v="2022"/>
    <s v="Finance"/>
    <s v="Record to Report"/>
    <s v="Absence of systematic tracking mechanism of Insurance claims"/>
    <s v="During our review, it was noted that there is no mechanism developed and applied for vehicles insurance claims monitoring in system. Insurance claims records are maintained manually in spreadsheets for tracking &amp; monitoring purposes."/>
    <s v="•_x0009_Management should explore the possibility of system-based tracking &amp; monitoring of all insurance related claims._x000a_•_x0009_Tracking mechanism must be introduced in such a way that all transactions are recorded in tracker/ system and monitored accordingly."/>
    <s v="High"/>
    <s v="System &amp; Application"/>
    <s v="CFO"/>
    <d v="2022-12-31T00:00:00"/>
    <m/>
    <s v="Closed"/>
    <s v="-"/>
    <s v="Closed"/>
    <s v="We have suggested many systems related enhancements and proposals to Microsoft database environment and new operations system along with the insurance tracking, monitoring, and integration. We are waiting for their responses &amp; final proposal."/>
  </r>
  <r>
    <n v="147"/>
    <s v="BTC"/>
    <n v="2022"/>
    <s v="Finance"/>
    <s v="Record to Report"/>
    <s v="No integration between operational and financial module"/>
    <s v="During audit review it was noted that there is no integration between Operational (Car Pro) and Finance (Dynamics 365) modules. It has been observed that all transactions related to revenue, receipts and VAT are uploaded in Dynamic 365 as single JV at month-end based on manual calculations in spreadsheet"/>
    <s v="_x0009_Department should coordinate with IT department for integration or solution for this issue, the two systems should be integrated for smooth operations and data flow."/>
    <s v="High"/>
    <s v="System &amp; Application"/>
    <s v="CFO"/>
    <d v="2022-12-31T00:00:00"/>
    <m/>
    <s v="Closed"/>
    <s v="-"/>
    <s v="Closed"/>
    <s v="We have suggested many systems related enhancements and proposals to Microsoft database environment and new operations system along, monitoring, and integration. We are waiting for their responses &amp; final proposal"/>
  </r>
  <r>
    <n v="148"/>
    <s v="BTC"/>
    <n v="2022"/>
    <s v="Finance"/>
    <s v="Record to Report"/>
    <s v="Absence of defined service level agreement"/>
    <s v="During IA review, it was noted that no Service Level Agreement exists between finance and other departments for smooth financial statements closing._x000a_Management should develop and implement SLA that should include the below items but not limited to such as: _x000a_•_x0009_Description of services provided._x000a_•_x0009_Expected service levels, metrics, and timelines by which the services will be measured._x000a_•_x0009_Escalation matrix for non-adherence to SLA._x000a_•_x0009_Duties and responsibilities of each party and remedies in case of non-observance._x000a_•_x0009_SLA should be approved as per DoE and circulated to all relevant stakeholders."/>
    <s v="SLA should be developed that governs activity related to finance department activities, within BTC finance and other departments."/>
    <s v="Medium"/>
    <s v="Policies &amp; Procedures"/>
    <s v="CFO"/>
    <d v="2022-12-31T00:00:00"/>
    <m/>
    <s v="Closed"/>
    <s v="-"/>
    <s v="Closed"/>
    <s v="As per discussion with consultant, SLA draft version will be developed by them which will cover the services agreed between the subsidiaries. SLAs for inter-department are not yet defined yet but as a practice we communicate/escalate through official emails. However, we will develop and apply the same."/>
  </r>
  <r>
    <n v="149"/>
    <s v="BTC"/>
    <n v="2022"/>
    <s v="Finance"/>
    <s v="Record to Report"/>
    <s v="Irregularities in petty cash custodian insurance"/>
    <s v="During our review of petty cash, we noted the below:_x000a_•_x0009_There are 21 petty cash holders with total funds of SAR 444,600 are not insured. For the period 2022 – 2023._x000a__x000a_•_x0009_There are two employees having petty cash funds, left BTC in February 2022, but are still insured for the period 2022 – 2023."/>
    <s v="All petty cash holders should be insured on timely manner and list of petty cash insurance should be reviewed on periodic basis for new issuance and closing of petty cash account."/>
    <s v="Medium"/>
    <s v="Operation"/>
    <s v="CFO"/>
    <d v="2022-09-30T00:00:00"/>
    <m/>
    <s v="Closed"/>
    <s v="-"/>
    <s v="Closed"/>
    <s v="We will review all the petty cash holder’s status and delete those who left the organization and update with the new employees who have been assigned petty cash."/>
  </r>
  <r>
    <n v="150"/>
    <s v="BTC"/>
    <n v="2022"/>
    <s v="HR"/>
    <s v="Hire to Retire"/>
    <s v="Outdated HR policy and procedure."/>
    <s v="During review IA noted that BTC currently is applying group HR policies and procedures that is outdated and that was last approved in FY 2007._x000a_Such policies may include (but are not limited to) the following areas:_x000a_•_x0009_Manpower planning_x000a_•_x0009_Manpower budget preparation and monitoring process in place._x000a_•_x0009_Recruitment and talent acquisition_x000a_•_x0009_Learning, training &amp; talent development_x000a_•_x0009_Payroll_x000a_•_x0009_HR-Operations - Working hours, attendance, and leave_x000a_•_x0009_Talent management_x000a_•_x0009_Resignation/termination_x000a_•_x0009_Performance appraisals_x000a_•_x0009_Business continuity / Succession._x000a_•_x0009_Employee grievance_x000a_•_x0009_Rewards &amp; recognition_x000a_•_x0009_Career planning_x000a_•_x0009_On boarding detailed presentation not in place for BTC introduction and policies and procedures_x000a_•_x0009_Non-adherence to notice period by employee_x000a_•_x0009_Anti-harassment policy_x000a_In addition, IA identified following major procedural and practice gaps:_x000a_•_x0009_Absence of Recruitment planning and campus recruitments (if any)_x000a_•_x0009_Clear and approved manpower planning is not available._x000a_•_x0009_There is no mechanism to verify employee documents especially validating academic and background check records._x000a_•_x0009_Absence of formal on boarding process which includes initial training to be given to a new employee in probation period to introduce the culture, strategy, policy &amp; procedure, code of ethics of the company. _x000a_•_x0009_Absence of formal Employee screening process and Employee selection procedures_x000a_•_x0009_There is no procedure for termination of contract employees_x000a_•_x0009_Absence of procedure for waiver of notice period."/>
    <s v="Management should develop/update the policy and procedures addressing the above identified gaps and get it approved accordingly. "/>
    <s v="High"/>
    <s v="Policies &amp; Procedures"/>
    <s v="HR Manager"/>
    <d v="2023-06-30T00:00:00"/>
    <m/>
    <s v="Closed"/>
    <s v="-"/>
    <s v="Closed"/>
    <s v="An external consultant has been hired by AAGH Group management for the development of policies and procedures, same will be approved and applied accordingly."/>
  </r>
  <r>
    <n v="151"/>
    <s v="BTC"/>
    <n v="2022"/>
    <s v="HR"/>
    <s v="Hire to Retire"/>
    <s v="Absence of approved key performance indicators"/>
    <s v="During our review we noted that KPIs for key individual employee and departments are developed but are not yet communicated and acknowledged by staff."/>
    <s v="HR Management should ensure that departmental KPIs and employee KPIs are formally defined, approved, and communicated."/>
    <s v="High"/>
    <s v="Org. structur, JD &amp; KPI's"/>
    <s v="HR Manager"/>
    <d v="2023-06-30T00:00:00"/>
    <d v="2024-12-31T00:00:00"/>
    <s v="Open Due"/>
    <n v="1096"/>
    <s v="More than 2 Years"/>
    <s v="HR department has employee KPIs in system. We are working with IT department, for employees to have access to their KPIs. However, HR management will coordinate with each department of BTC and will develop departmental KPIs. "/>
  </r>
  <r>
    <n v="152"/>
    <s v="BTC"/>
    <n v="2022"/>
    <s v="HR"/>
    <s v="Hire to Retire"/>
    <s v="Weakness surrounding job descriptions"/>
    <s v="During our review we noted that there is no formal mechanism to communicate and acknowledge job description by employees."/>
    <s v="•_x0009_HR department should develop job description in system for key employees and communicate accordingly. _x000a_•_x0009_All JDs across the organization should be reviewed on an annual basis."/>
    <s v="High"/>
    <s v="Org. structur, JD &amp; KPI's"/>
    <s v="HR Manager"/>
    <d v="2023-06-30T00:00:00"/>
    <d v="2024-12-31T00:00:00"/>
    <s v="Open Due"/>
    <n v="1096"/>
    <s v="More than 2 Years"/>
    <s v="HR department has JDs for all positions, and we are working with group to develop the same in system, for employees to access and confirmation, and will be reviewed annually. "/>
  </r>
  <r>
    <n v="153"/>
    <s v="BTC"/>
    <n v="2022"/>
    <s v="HR"/>
    <s v="Hire to Retire"/>
    <s v="Discrepancies identified in employee files."/>
    <s v="During review of employee’s files, the following discrepancies (missing documents) were noted:_x000a_ _x000a_Refer to appendix # 4 for details"/>
    <s v="•_x0009_All employee files are to be reviewed and checked for completeness. _x000a_•_x0009_Develop comprehensive checklist for employee file documentations"/>
    <s v="High"/>
    <s v="Operation"/>
    <s v="HR Manager"/>
    <d v="2023-03-31T00:00:00"/>
    <m/>
    <s v="Closed"/>
    <s v="-"/>
    <s v="Closed"/>
    <s v="HR department will develop comprehensive checklist for required documents and ensure employee files completeness in chronologically order."/>
  </r>
  <r>
    <n v="154"/>
    <s v="BTC"/>
    <n v="2022"/>
    <s v="HR"/>
    <s v="Hire to Retire"/>
    <s v="Outdated succession planning for key positions."/>
    <s v="1._x0009_During review IA revealed that currently there is no policy developed by HR department that governs succession planning to ensure seamless continuity of leadership in case of resource churn._x000a_2._x0009_Existing Succession plan is outdated and following shortfall identified:_x000a_•_x0009_There is no succession plan mentioned for the following positions. _x000a__x0009_COO_x000a__x0009_project manager._x000a_•_x0009_7 out of 12 key position holders already left the company._x000a_•_x0009_5 out of 19 successors also left the company."/>
    <s v="•_x0009_The management should develop and update comprehensive succession plan for the appointments of senior management of the company, and to ensure their implementation to achieve smooth and orderly work of the company without any interruption or disturbance. _x000a_•_x0009_The succession plan should address, at minimum, the following: _x000a_a._x0009_The key positions and functions to be covered. _x000a_b._x0009_The timeliness of coverage during the transition period. _x000a_c._x0009_The positions and time that could temporarily cover for the vacant positions. _x000a_d._x0009_Skills and qualifications required for each position._x000a_e._x0009_Training and development program for identified successor"/>
    <s v="High"/>
    <s v="Policies &amp; Procedures"/>
    <s v="HR Manager"/>
    <d v="2023-01-31T00:00:00"/>
    <d v="2024-12-31T00:00:00"/>
    <s v="Open Due"/>
    <n v="1246"/>
    <s v="More than 2 Years"/>
    <s v="HR management will coordinate with BTC higher management and update comprehensive succession plan for senior management to achieve smooth and orderly work of the company without any interruption. "/>
  </r>
  <r>
    <n v="155"/>
    <s v="BTC"/>
    <n v="2022"/>
    <s v="HR"/>
    <s v="Hire to Retire"/>
    <s v="Absence of approved salary scale and employee compensation."/>
    <s v="During review we noted the followings:_x000a_1._x0009_Company currently does not have approved salary scales for all grades of employees._x000a_2._x0009_There is no Benchmarking analysis and market research has been done for salary scales._x000a_3._x0009_Grades are not defined and linked with the employee’s medical insurance eligibility."/>
    <s v="Management should:_x000a_•_x0009_Perform a market and industry survey and research for prevailing salary scales, based on that determine and establish pay scales for all grades of employees and get it approved accordingly._x000a_•_x0009_Market research / Industry standards and corresponding revision / correction of salary grade for employee compensation should be performed on periodic basis._x000a_•_x0009_Management shall ensure that salary and benefits offered for the employee should be according to the approved salary scales and employee grade."/>
    <s v="High"/>
    <s v="Org. structur, JD &amp; KPI's"/>
    <s v="HR Manager"/>
    <d v="2023-03-31T00:00:00"/>
    <d v="2024-12-31T00:00:00"/>
    <s v="Open Due"/>
    <n v="1187"/>
    <s v="More than 2 Years"/>
    <s v="AAGH will perform market survey &amp; BTC HR management will coordinate for finalization and implementation accordingly once approved."/>
  </r>
  <r>
    <n v="156"/>
    <s v="BTC"/>
    <n v="2022"/>
    <s v="HR"/>
    <s v="Hire to Retire"/>
    <s v="Absence of performance appraisal."/>
    <s v="During our review we noted the following:_x000a_•_x0009_There is no performance appraisal conducted in 2020-2021 for employees._x000a_•_x0009_Further, increments awarded to 49 employees during the 2021-2022 ranging from 06% - 70% without formal performance appraisal."/>
    <s v="_x000a_•_x0009_Management should ensure that a formal mechanism be developed for Performance appraisal/Evaluations of employees on periodic basis, (at least) annually and apply it accordingly. _x000a_•_x0009_All the increments should be based on formal and documented performance appraisal."/>
    <s v="High"/>
    <s v="Org. structur, JD &amp; KPI's"/>
    <s v="HR Manager"/>
    <d v="2023-03-31T00:00:00"/>
    <m/>
    <s v="Closed"/>
    <s v="-"/>
    <s v="Closed"/>
    <s v="HR management will develop a formal mechanism for performance appraisal of employees on yearly basis and will apply it accordingly._x000a_HR will also ensure that increments will be based on formal and documented performance appraisal"/>
  </r>
  <r>
    <n v="157"/>
    <s v="BTC"/>
    <n v="2022"/>
    <s v="HR"/>
    <s v="Hire to Retire"/>
    <s v="High turnover ratios and absence of root cause analysis."/>
    <s v="During review, we noted the followings:_x000a_1._x0009_Turnover ratios for last three years are higher as below:_x000a_ _x000a_2._x0009_Absence of formal root cause analysis of high turnover._x000a_3._x0009_Monitoring and reporting of turnover ratio/attrition to top management._x000a_4._x0009_Proposals / plans to address the attrition."/>
    <s v="Management should perform formal turnover analysis based on the information obtained in exit interview, prepare its recommendations and plan to control it to reasonable extent."/>
    <s v="High"/>
    <s v="Operation"/>
    <s v="HR Manager"/>
    <d v="2023-03-31T00:00:00"/>
    <m/>
    <s v="Closed"/>
    <s v="-"/>
    <s v="Closed"/>
    <s v="During the years 2020 and 2021, due to Covid19 Pandemic worldwide situation and closing of spot business, there was high turnover ratio._x000a_HR management will perform formal turnover analysis based on the information obtained in exit interview and prepare its recommendations and will plan to control it to reasonable extent."/>
  </r>
  <r>
    <n v="158"/>
    <s v="BTC"/>
    <n v="2022"/>
    <s v="HR"/>
    <s v="Hire to Retire"/>
    <s v="Absence of background verification for key positions."/>
    <s v="During our review we noted that HR department is not performing and formally documenting employee background verification checks (e.g., work history, experience, education, and medical, as well as search for any past criminal activity…etc.)  for the new hires on critical positions."/>
    <s v="•_x0009_Management shall conduct a formal Background verification process of the employee before hiring candidates for critical positions and document it accordingly._x000a_•_x0009_Management shall at least verify through this process the Candidate's (but not limited to): basic details, professional qualifications, educational certificates, work experience, and ethical and criminal background. "/>
    <s v="High"/>
    <s v="Policies &amp; Procedures"/>
    <s v="HR Manager"/>
    <d v="2022-12-31T00:00:00"/>
    <m/>
    <s v="Closed"/>
    <s v="-"/>
    <s v="Closed"/>
    <s v="HR department will conduct a formal background verification prior to hiring a critical position and document it accordingly when needed."/>
  </r>
  <r>
    <n v="159"/>
    <s v="BTC"/>
    <n v="2022"/>
    <s v="HR"/>
    <s v="Hire to Retire"/>
    <s v="Absence of define mechanism and policy for relative disclosure"/>
    <s v="During our review, we noticed the followings:_x000a_•_x0009_Absence of defined mechanism and policy for relative/ family recruitment (nepotism) policy. _x000a_•_x0009_Absence of relative disclosure form and its application_x000a_•_x0009_There is no formal record of any kinship available with HR department."/>
    <s v="Management should develop a comprehensive Anti-Nepotism policy, relative disclosure form and apply it accordingly."/>
    <s v="High"/>
    <s v="Policies &amp; Procedures"/>
    <s v="HR Manager"/>
    <d v="2023-06-30T00:00:00"/>
    <m/>
    <s v="Closed"/>
    <s v="-"/>
    <s v="Closed"/>
    <s v="An external consultant has been hired by AAGH Group management for the development of policies and procedures, same will be approved and applied accordingly._x000a_HR management will develop a relative disclosure form and apply it accordingly."/>
  </r>
  <r>
    <n v="160"/>
    <s v="BTC"/>
    <n v="2022"/>
    <s v="HR"/>
    <s v="Hire to Retire"/>
    <s v="Absence of vendor contract for Air tickets and comparative quotes."/>
    <s v="During our review IA noted the followings:_x000a_1._x0009_There is no contract with multiple vendors for staff air ticket bookings._x000a_2._x0009_No defined mechanism to take multiple quotes from vendors, compare and buy economical air tickets for staff."/>
    <s v="Management should make agreements with multiple vendors and defined a mechanism to obtain and compare economical and best suited options."/>
    <s v="High"/>
    <s v="Policies &amp; Procedures"/>
    <s v="HR Manager"/>
    <d v="2023-04-30T00:00:00"/>
    <m/>
    <s v="Closed"/>
    <s v="-"/>
    <s v="Closed"/>
    <s v="HR management is developing a new mechanism and plan for provision of air tickets as per eligibility of employees."/>
  </r>
  <r>
    <n v="161"/>
    <s v="BTC"/>
    <n v="2022"/>
    <s v="HR"/>
    <s v="Hire to Retire"/>
    <s v="Absence of repository and monitoring of adherence to applicable laws, circulars, and regulations."/>
    <s v="During review, it was noted that currently department doesn’t have formal process in place to identify applicable laws &amp; regulations and their compliance status. Further it was noted that there is lack of formal repository of applicable laws &amp; regulations maintained by Human Resource department. "/>
    <s v="Management of HR team should ensure:_x000a_•_x0009_HR co-ordinates with relevant stakeholder for identification of applicable laws/regulations. _x000a_•_x0009_There should be repository in place for all applicable regulation/law/circulars relating to labor law applicable to company. "/>
    <s v="High"/>
    <s v="Policies &amp; Procedures"/>
    <s v="HR Manager"/>
    <d v="2023-06-30T00:00:00"/>
    <m/>
    <s v="Closed"/>
    <s v="-"/>
    <s v="Closed"/>
    <s v="An external consultant has been hired by AAGH Group management for the development of policies and procedures, and the same will be applied accordingly. HR will also establish a defined repository of applicable laws and regulations showing their current compliance status. "/>
  </r>
  <r>
    <n v="162"/>
    <s v="BTC"/>
    <n v="2022"/>
    <s v="HR"/>
    <s v="Hire to Retire"/>
    <s v="Absence of formal policies and procedures for staff performance and disciplinary actions."/>
    <s v="During our review we noted the followings relating to disciplinary actions:_x000a_•_x0009_There is no approved policies and procedures for disciplinary actions taken against employees in case of any misconduct._x000a_•_x0009_There is no monitoring mechanism in place for follow ups and tracking of disciplinary actions taken. _x000a_•_x0009_Mechanism to monitor and evaluate performance of employee_x000a_•_x0009_Procedure for handling low performing staff_x000a_•_x0009_Absence of centralized repository of warning letters issued to employees at project sites/divisions, head offices and regional offices."/>
    <s v="•_x0009_Management should develop and implement a comprehensive policy and procedures for disciplinary actions and monitoring mechanism for the tracking of disciplinary actions and their follow ups._x000a_•_x0009_Management should develop and implement performance monitoring system for all employees  "/>
    <s v="High"/>
    <s v="Policies &amp; Procedures"/>
    <s v="HR Manager"/>
    <d v="2023-06-30T00:00:00"/>
    <m/>
    <s v="Closed"/>
    <s v="-"/>
    <s v="Closed"/>
    <s v="An external consultant has been hired by AAGH Group management for the development of policies and procedures, same will be approved and applied accordingly. "/>
  </r>
  <r>
    <n v="163"/>
    <s v="BTC"/>
    <n v="2022"/>
    <s v="HR"/>
    <s v="Hire to Retire"/>
    <s v="Absence of signatures on rental contracts."/>
    <s v="During audit review it was noted that rental contract for Al Akrash parking in Buraidah amounting to SAR 60,000 is only signed by the tenant (BTC) not by the landlord._x000a_•_x0009_A contract must be signed by both parties to make it valid and legally binding."/>
    <s v="HR department should ensure that signatures are taken from all parties that BTC enter with outside party."/>
    <s v="High"/>
    <s v="Operation"/>
    <s v="HR Manager"/>
    <d v="2023-06-30T00:00:00"/>
    <m/>
    <s v="Closed"/>
    <s v="-"/>
    <s v="Closed"/>
    <s v="HR department will ensure that contracts will be properly signed by all relevant authorized parties."/>
  </r>
  <r>
    <n v="164"/>
    <s v="BTC"/>
    <n v="2022"/>
    <s v="HR"/>
    <s v="Hire to Retire"/>
    <s v="Absence of employees training and continuous professional development program."/>
    <s v="During our review, we noticed the followings:_x000a_1._x0009_Company does not have a structured process for employee skill development and specialized trainings relating to his domain. _x000a_2._x0009_Company does not have training programs to enhance risk culture and employee’s awareness such as but not limited to Code of conduct, Internal Controls, Fraud management, Regulatory requirements, etc. _x000a_Furthermore, there is no documentation and tracking of trainings that an employee has taken and provided by company. "/>
    <s v="Management of HR team should:_x000a_•_x0009_Ensure to develop a comprehensive training program for employees._x000a_•_x0009_Assess and communicate training needs, training calendar should be reviewed by the Departmental Heads and approved by the senior management, and training budgets are prepared based on the annual training calendar&quot;"/>
    <s v="Medium"/>
    <s v="Policies &amp; Procedures"/>
    <s v="HR Manager"/>
    <d v="2023-06-30T00:00:00"/>
    <m/>
    <s v="Closed"/>
    <s v="-"/>
    <s v="Closed"/>
    <s v="HR department will coordinate with other departments and management, to develop a comprehensive training plan and calendar for employees and get it approved and applied accordingly."/>
  </r>
  <r>
    <n v="165"/>
    <s v="BTC"/>
    <n v="2022"/>
    <s v="HR"/>
    <s v="Hire to Retire"/>
    <s v="Absence of employee’s orientation program."/>
    <s v="Employee orientation is an excellent way to acquaint employees with the organization’s structure, culture, employees, and summarize the nature of operations of various departments. During our review we found that no Employees Orientation Program is still yet established, finalized, and implemented"/>
    <s v="The department should establish a detail orientation program and ensure that specific contents / areas of orientation and time duration to be dedicated for various activities are documented, reviewed, and approved by appropriate personnel."/>
    <s v="Medium"/>
    <s v="Policies &amp; Procedures"/>
    <s v="HR Manager"/>
    <d v="2023-06-30T00:00:00"/>
    <m/>
    <s v="Closed"/>
    <s v="-"/>
    <s v="Closed"/>
    <s v="HR department in coordination with IT department will develop and document an online detailed orientation program and apply it accordingly."/>
  </r>
  <r>
    <n v="166"/>
    <s v="BTC"/>
    <n v="2022"/>
    <s v="Maintenance"/>
    <s v="Asset management"/>
    <s v="Absence of comprehensive maintenance policies and procedures"/>
    <s v="During IA review, it was noted that comprehensive policies and procedures covering all sub processes of the Maintenance department are not in place._x000a_For effective and efficient operations and management, complete set of policies in line with the overall business strategy to be documented and approved as per authority matrix. It was observed that approved version is not comprehensive and silent on certain areas relating to:_x000a_•_x0009_Quality Check process_x000a_•_x0009_Complaint handling &amp; monitoring_x000a_•_x0009_Customer Feedback process_x000a_•_x0009_Repeat jobs process._x000a_•_x0009_Job card cancelation process_x000a_•_x0009_DOA matrix_x000a_•_x0009_Scrap sales process_x000a_•_x0009_Security Management_x000a_•_x0009_Health &amp; Safety_x000a_•_x0009_Fraud control"/>
    <s v="Comprehensive policies and procedures manual should be developed, approved, implemented, and updated on periodic basis."/>
    <s v="High"/>
    <s v="Policies &amp; Procedures"/>
    <s v="Maintenance Manager"/>
    <d v="2023-03-31T00:00:00"/>
    <m/>
    <s v="Closed"/>
    <s v="-"/>
    <s v="Closed"/>
    <s v="Policy and procedure for the above highlighted areas of maintenance department will be developed, reviewed, and submit to management for their approval. After approval this will be applied accordingly. "/>
  </r>
  <r>
    <n v="167"/>
    <s v="BTC"/>
    <n v="2022"/>
    <s v="Maintenance"/>
    <s v="Asset management"/>
    <s v="Absence of org. structure, succession plan, job description and KPIs"/>
    <s v="During our review, we noted that:_x000a_1._x0009_Approved organizational structure for the Maintenance department is not available._x000a_2._x0009_Succession planning for key Maintenance staff were not developed and available for review._x000a_3._x0009_Job descriptions for key staff developed and available for review._x000a_4._x0009_No KPIs are defined, approved, and communicated to key employees of the maintenance department._x000a_5._x0009_Absence of defined mechanism for job rotation of Maintenance staff"/>
    <s v="•_x0009_Management should prepare Org. structure &amp; succession plan, get it approved as per authority matrix, and communicate it to the staff._x000a_•_x0009_Management should define KPI &amp; Job description &amp; get it approved annually as per authority matrix and communicate it to the staff."/>
    <s v="High"/>
    <s v="Org. structur, JD &amp; KPI's"/>
    <s v="Maintenance Manager"/>
    <d v="2023-03-31T00:00:00"/>
    <m/>
    <s v="Closed"/>
    <s v="-"/>
    <s v="Closed"/>
    <s v="Organization structure, KPI, JD and succession plan for maintenance department will be develop and applied accordingly. "/>
  </r>
  <r>
    <n v="168"/>
    <s v="BTC"/>
    <n v="2022"/>
    <s v="Maintenance"/>
    <s v="Asset management"/>
    <s v="Absence of defined service codes and categories for job cards in system"/>
    <s v="•_x0009_There are no service codes defined in CarPro system to categorise job repairs while opening and closing of job cards._x000a__x000a_•_x0009_It was also noted that there are 1491 closed job cards without any description/remarks mentioned. In such cases, Internal audit is unable to identify &amp; review the actual type of repair/maintenance performed on vehicles."/>
    <s v="•_x0009_Management should define in system and implement comprehensive service coding and categories for all types of repairs &amp; services_x000a_•_x0009_Management should ensure that every job cards must be updated with actual type and repair on vehicles in remarks/description._x000a_•_x0009_Periodic review must be performed to track &amp; monitor any discrepancies"/>
    <s v="High"/>
    <s v="System &amp; Application"/>
    <s v="Maintenance Manager"/>
    <d v="2023-06-30T00:00:00"/>
    <m/>
    <s v="Closed"/>
    <s v="-"/>
    <s v="Closed"/>
    <s v="Currently In CarPro this option is not available, and we will request to have this option in new system._x000a_We will analyse the highlighted job cards and instruct the related users to update description and remarks before closing the job cards. "/>
  </r>
  <r>
    <n v="169"/>
    <s v="BTC"/>
    <n v="2022"/>
    <s v="Maintenance"/>
    <s v="Asset management"/>
    <s v="Long aged pending job cards"/>
    <s v="We noted that 5907 job cards (Internal &amp; External) amounting SAR. 204,436 are under status Open &amp; Pending as of 27th October 2022. Out of which 4352 pending job cards pertaining to the year 2015-2021. "/>
    <s v="•_x0009_Maintenance department must ensure every month all job cards should be closed with minimum exceptions having adequate reasoning like major repairs/non-availability of parts related issues._x000a_•_x0009_Maintenance department should ensure not to process such invoices which has been delayed in workshop without proper justification"/>
    <s v="High"/>
    <s v="Operation"/>
    <s v="Maintenance Manager"/>
    <d v="2023-03-31T00:00:00"/>
    <m/>
    <s v="Closed"/>
    <s v="-"/>
    <s v="Closed"/>
    <s v="Most of these open job cards (60%) are related to Jeddah workshop, which is under legal case. We will close upon final notification from legal department. We will also review and analyze the remaining job cards and close accordingly. "/>
  </r>
  <r>
    <n v="170"/>
    <s v="BTC"/>
    <n v="2022"/>
    <s v="Maintenance"/>
    <s v="Asset management"/>
    <s v="High Maintenance Cost Ratio and per vehicle maintenance cost"/>
    <s v="•_x0009_During IA review, it was noted that, Company has a high Maintenance cost ratio in 2 consecutive years (i.e., 8.1% in 2020 and 8.9% in 2021). Whereas the industry competitors Budget and Theeb has the ratio ranging from 4.7% – 7.1% during the same period._x000a_•_x0009_Additionally, based on available data of BTC, it was noted that the maintenance ratio for the period Jan-Sept 2022 is much higher than previous 2 years i.e., 12.2%._x000a_The Below table illustrates the detail calculation and industry comparison: _x000a_ _x000a_•_x0009_It was also noted that the average maintenance cost per vehicle for BTC is high (41%) amounting to SAR 2,243 during the year 2020 and 2021; whereas industry competitors Budget &amp; Theeb has low maintenance cost with an average of SAR 1,590 during the same period._x000a_The Below table illustrates the detail calculation and industry comparison: _x000a_ "/>
    <s v="•_x0009_Management should take immediate active steps to reduce the maintenance cost based on industry benchmarking and standards and should monitor more effectively."/>
    <s v="High"/>
    <s v="Operation"/>
    <s v="Maintenance Manager"/>
    <d v="2023-06-30T00:00:00"/>
    <m/>
    <s v="Closed"/>
    <s v="-"/>
    <s v="Closed"/>
    <s v="Management Response_x000a_Followings are the main reasons for high maintenance cost as compared to competitors:_x000a_•_x0009_57% job cards are opened with external workshops that are not as cost effective as maintenance at internal workshop in year 2022._x000a_•_x0009_BTC have old model year vehicles in our fleet which cost us more. In year 2022 we have total 7996 job cards for vehicles below model year 2017 which costing us 3,441,481/- approximately 15-20% of total maintenance cost. _x000a_•_x0009_We have Peugeot and Renault vehicles in fleet having high maintenance cost as compared to other brands. Most of them are under repaired at Dealer and some need to engine replacement._x000a_Above mentioned competitors have mainly their own internal workshop, due to this their avg maintenance cost is low. Management has already initiated the process to open three new internal workshops one in each of the eastern, western, and central region to reduce the cost. By opening own workshop and reducing reliance on external workshop will reduce 15%-20% cost of maintenance (as per year 2022 data comparison for external and internal workshop repairs)._x000a_Further authority limits for maintenance approval, contracts with external workshops and their monitoring, avg. and client wise maintenance cost will be monitored periodically to keep it low."/>
  </r>
  <r>
    <n v="171"/>
    <s v="BTC"/>
    <n v="2022"/>
    <s v="Maintenance"/>
    <s v="Asset management"/>
    <s v="Absence of contracts for spare parts supplies and excessive utilization of Petty cash"/>
    <s v="It was noted that Maintenance dept use to purchase spare parts, materials, consumables, and repair/maintenance at workshops (internal &amp; non-contracted) through petty cash instead of routing through proper channel of contracting with suppliers._x000a_It was observed that management have inadequate control and monitoring of purchases and repairs performed on petty cash expenses._x000a_Location-wise summary of petty cash purchases for the period Jan-Oct 2022 are as under:_x000a_Garage Name_x0009_# Job cards_x0009_Total Amount_x000a_LOCAL SUPPLIER - RIYADH_x0009_2538_x0009_731,713_x000a_LOCAL SUPPLIER - JEDDAH_x0009_338_x0009_191,237_x000a_LOCAL SUPPLIER - KHOBAR_x0009_420_x0009_139,181_x000a_LOCAL SUPPLIER-JUBAIL_x0009_422_x0009_137,522_x000a_LOCAL SUPPLIER - SOUTH AREA; ABHA_x0009_32_x0009_37,296_x000a_Total_x0009_3,750_x0009_1,236,949_x000a_"/>
    <s v="•_x0009_Management should take necessary steps to contract with relevant suppliers and minimise petty cash usage._x000a_•_x0009_Periodic review of petty cash limits and expenses to be performed management."/>
    <s v="High"/>
    <s v="Policies &amp; Procedures"/>
    <s v="Maintenance Manager"/>
    <d v="2023-06-30T00:00:00"/>
    <m/>
    <s v="Closed"/>
    <s v="-"/>
    <s v="Closed"/>
    <s v="We will coordinate with procurement department to arrange credit suppliers for material purchases for workshops._x000a_Further, rates will be standardized, and contracts will be prepared for shortlisted and approved vendors."/>
  </r>
  <r>
    <n v="172"/>
    <s v="BTC"/>
    <n v="2022"/>
    <s v="Maintenance"/>
    <s v="Asset management"/>
    <s v="Variance in physical verification of spare parts and materials at Riyadh Workshop"/>
    <s v="•_x0009_During our physical visit and verification of spare parts at Riyadh workshop dated 25th October 2022, shortages and excesses of parts &amp; materials were observed. _x000a_Summary of variances are as under:_x000a_System Stock_x0009_Shortages_x0009_Excesses_x0009_Physical Stock_x000a_Qty_x0009_Amt_x0009_Qty_x0009_Amt_x0009_Qty_x0009_Amt_x0009_Qty_x0009_Amt_x000a_3,615_x0009_101,820_x0009_808_x0009_28,860_x0009_291_x0009_2,328_x0009_3,098_x0009_75,288_x000a_Refer Appendix 4 for details._x000a__x000a_•_x0009_It was noted that there is no define policies and procedures for periodic physical verification of spare parts inventory at workshops. However, physical count was performed for spare parts stocks only at the year-end by Finance department.  "/>
    <s v="•_x0009_Management should ensure that proper tracking mechanism of Inward/Outward of all materials to be maintained._x000a_•_x0009_Management should ensure all shortages/excesses highlighted to be identified on priority &amp; reconciled with system stocks._x000a_•_x0009_Management should establish policies and procedures for periodic physical verification to avoid any such instances._x000a_•_x0009_All documents related to perpetual inventory to be filed and maintain with proper records."/>
    <s v="High"/>
    <s v="Operation"/>
    <s v="Maintenance Manager"/>
    <d v="2023-06-30T00:00:00"/>
    <m/>
    <s v="Closed"/>
    <s v="-"/>
    <s v="Closed"/>
    <s v="The above-mentioned excess and shortages have been sorted. _x000a_Currently in system there is no immediate effect of material issuance to the job card. And same will be effective upon closing the job card. However, we will coordinate with IT to implement stock movement simultaneously in the upcoming new system. "/>
  </r>
  <r>
    <n v="173"/>
    <s v="BTC"/>
    <n v="2022"/>
    <s v="Maintenance"/>
    <s v="Asset management"/>
    <s v="Cancelled job cards without justification"/>
    <s v="Based on our random sampling procedures of the job cards we noted that there are 997 cancelled job cards from Jan-2021 to Oct-2022, where no justification obtained or updated/mentioned in Remarks or Description column of job cards._x000a_Also, there is no formal approval attached from higher management for canceling the job cards."/>
    <s v="•_x0009_We recommend that cancellation of job cards should be approved as per the DOA and after consultation with the management._x000a_•_x0009_Management should develop policy of cancelling job cards with prior review and approval as per DOA._x000a_•_x0009_Proper justification should be mentioned in the Description column of the job cards"/>
    <s v="High"/>
    <s v="Operation"/>
    <s v="Maintenance Manager"/>
    <d v="2023-06-30T00:00:00"/>
    <m/>
    <s v="Closed"/>
    <s v="-"/>
    <s v="Closed"/>
    <s v="Currently we seek emails approvals from management to perform this activity. However, we will coordinate with IT dept. to enable the option to update the justification or remarks while cancelling the job cards. "/>
  </r>
  <r>
    <n v="174"/>
    <s v="BTC"/>
    <n v="2022"/>
    <s v="Maintenance"/>
    <s v="Asset management"/>
    <s v="Absence of variance and budget analysis of maintenance"/>
    <s v="During review, it was noted that there is no periodic budget and variance analysis prepared and available with Maintenance department to track &amp; monitor the over &amp; under expenditures."/>
    <s v="•_x0009_Management should define mechanism of preparing periodic budgeting and variance analysis "/>
    <s v="High"/>
    <s v="Policies &amp; Procedures"/>
    <s v="Maintenance Manager"/>
    <d v="2023-06-30T00:00:00"/>
    <m/>
    <s v="Closed"/>
    <s v="-"/>
    <s v="Closed"/>
    <s v="In consultation with finance department, we will prepare variance analysis to track and monitor maintenance expenses."/>
  </r>
  <r>
    <n v="175"/>
    <s v="BTC"/>
    <n v="2022"/>
    <s v="Maintenance"/>
    <s v="Asset management"/>
    <s v="Absence of bulk upload functionality/portal of maintenance invoices"/>
    <s v="BTC have tie-up with networked workshops throughout kingdom like Petromin &amp; One-Stop for routine maintenance and general repairs. These workshops submit invoices to BTC on monthly basis and later maintenance team enters these invoices manually one-by-one in CarPro (operation module)._x000a_It was observed that there is no system functionality/portal in place to upload invoices in bulk submitted by various workshops."/>
    <s v="Management should consult with IT and take necessary steps to enhance system functionality of bulk upload of workshop invoices."/>
    <s v="High"/>
    <s v="System &amp; Application"/>
    <s v="Maintenance Manager"/>
    <d v="2023-06-30T00:00:00"/>
    <m/>
    <s v="Closed"/>
    <s v="-"/>
    <s v="Closed"/>
    <s v="We requested to CARPRO team to provide us bulk load option since years, but they failed to provide, and we have many emails for this issue. _x000a_We will consider in new system implementation to make sure bulk upload option is available."/>
  </r>
  <r>
    <n v="176"/>
    <s v="BTC"/>
    <n v="2022"/>
    <s v="Maintenance"/>
    <s v="Asset management"/>
    <s v="Long aged &amp; non-moving spare parts or materials lying in workshops"/>
    <s v="During the physical review of Riyadh Workshop spare parts, we noted the following: _x000a_•_x0009_It was observed that there are 59-parts line items with 329 quantities lying in Riyadh workshop &amp; Abha locations. These spare parts are long aged and non-moving items which are pending for than 5 to 10 years._x000a_•_x0009_It was also noted that most of these parts are either expired or under non-usable conditions. _x000a_•_x0009_The actual purchase price of these parts was not recorded at the time of procurement and recorded on notional value of SAR 10/unit._x000a__x000a_Details are as under:_x000a_Location_x0009_Parts line items_x0009_Quantities_x000a_Garage Riyadh_x0009_25_x0009_113_x000a_South Workshop (Abha)_x0009_34_x0009_216_x000a_Refer Appendix 5 for details"/>
    <s v="•_x0009_Management should define mechanism to identify the immovable parts on timely basis._x000a_•_x0009_Management should initiate an action to dispose of highlighted stock and recover the maximum possible amount. "/>
    <s v="High"/>
    <s v="Operation"/>
    <s v="Maintenance Manager"/>
    <d v="2023-06-30T00:00:00"/>
    <m/>
    <s v="Closed"/>
    <s v="-"/>
    <s v="Closed"/>
    <s v="Our ABHA workshop was closed by Municipality in year 2015. And these parts were lying there in ABHA office. We brought all parts here to check if we can utilize @ BTC workshop. But as per mechanics these parts are for old model vehicles and already expired, cannot be used in our fleet and the value is only scrap._x000a_We entered these in system with SR 10 as per management instructions._x000a_As these parts are obsolete so we will coordinate and get necessary approval from management to sell these parts as scrap"/>
  </r>
  <r>
    <n v="177"/>
    <s v="BTC"/>
    <n v="2022"/>
    <s v="Maintenance"/>
    <s v="Asset management"/>
    <s v="Absence of periodic review of user access rights in CarPro for Maintenance dept."/>
    <s v="During review of Maintenance process, it was observed that user profiles are not reviewed periodically by management to ensure that users with access to data continue to have such access and those privileges granted remain appropriate."/>
    <s v="•_x0009_Management must review the access rights on periodic basis._x000a_•_x0009_Ensure any unwanted access observed must be removed accordingly"/>
    <s v="High"/>
    <s v="Operation"/>
    <s v="Maintenance Manager"/>
    <d v="2023-06-30T00:00:00"/>
    <m/>
    <s v="Closed"/>
    <s v="-"/>
    <s v="Closed"/>
    <s v="Maintenance department will review user access rights of all maintenance staff on periodic basis. And same will be included in policy and procedures."/>
  </r>
  <r>
    <n v="178"/>
    <s v="BTC"/>
    <n v="2022"/>
    <s v="Maintenance"/>
    <s v="Asset management"/>
    <s v="No Labor costs allocated for repair jobs performed at BTC workshops"/>
    <s v="During our review, it was noted that there are no labour charges/or internal rate card defined for repairs &amp; maintenance performed at In-house workshops._x000a_Nevertheless, BTC owned workshops at various cities like Riyadh, Jubail, Projects locations &amp; service vans throughout kingdom; but since inception, rate cards were not defined to charge all sort of repairs performed on vehicles at BTC owned workshops."/>
    <s v="•_x0009_Management should develop and implement the internal rate card and configure in system accordingly._x000a_•_x0009_All sort of repair and maintenance conducted by in-house workshops must be categorized and labor charges should be determined as per industry standards."/>
    <s v="High"/>
    <s v="Policies &amp; Procedures"/>
    <s v="Maintenance Manager"/>
    <d v="2023-06-30T00:00:00"/>
    <m/>
    <s v="Closed"/>
    <s v="-"/>
    <s v="Closed"/>
    <s v="Currently, this option is not functional in CarPro however, we have added this requirement to apply in new system."/>
  </r>
  <r>
    <n v="179"/>
    <s v="BTC"/>
    <n v="2022"/>
    <s v="Maintenance"/>
    <s v="Asset management"/>
    <s v="Lack of system-based management reports for Maintenance department"/>
    <s v="•_x0009_During review, it was noted that there is no system based operational and management analytical reports for Maintenance department._x000a_•_x0009_All types of operational analysis and evaluation prepared and submitted to management review and decisions are based on single job card data generated from the system._x000a_•_x0009_Further, it was noted that manual procedures were performed to remove abnormalities prior to generation of manual management reports compromising data accuracy and reliability._x000a_•_x0009_System should be able to generate following important reports (not limited to):_x000a_a)_x0009_Location wise pending job card report_x000a_b)_x0009_Workshop concentration report_x000a_c)_x0009_Maintenance expenses reports (location-wise, type &amp; category of repairs, client-wise, brand/model-wise)_x000a_d)_x0009_Exceptionally approved repairs_x000a_e)_x0009_Repeat repairs._x000a_f)_x0009_Warranty claims related jobs._x000a_g)_x0009_Insurance &amp; drop claims related repairs._x000a_h)_x0009_Parts utilization report_x000a_i)_x0009_Vendor-wise parts procurement report"/>
    <s v="•_x0009_Management should establish a standardized internal reporting that would specify the reports to be prepared and same to be define in system._x000a_•_x0009_Management should ensure that all such are automated and inbuilt in system."/>
    <s v="High"/>
    <s v="System &amp; Application"/>
    <s v="Maintenance Manager"/>
    <d v="2023-06-30T00:00:00"/>
    <m/>
    <s v="Closed"/>
    <s v="-"/>
    <s v="Closed"/>
    <s v="Currently, management reports are not functional in CarPro however, we have added this requirement to apply in new system."/>
  </r>
  <r>
    <n v="180"/>
    <s v="BTC"/>
    <n v="2022"/>
    <s v="Maintenance"/>
    <s v="Asset management"/>
    <s v="Irregularities in workshop contracts"/>
    <s v="Workshop/Supplier contracts are important to achieve better quality of service, competitive prices, and most suitable credit terms._x000a_During review of active workshop contracts as of October 2022, following discrepancies were observed and noted:_x000a_•_x0009_7 out of 58 vendors (workshop &amp; parts supplies) were having no contract._x000a_•_x0009_40 out of 51 available contracts were having no price list/Rate Card._x000a_•_x0009_4 out of 51 available contracts were having no signature &amp; stamp by the second party._x000a_•_x0009_3 out of 51 available contracts were not vetted by the legal department._x000a_•_x0009_1 out of 51 available contracts was outdated._x000a_•_x0009_1 out of 51 available contracts has no credit period mentioned._x000a_Refer Appendix 6 for details"/>
    <s v="Management must ensure that all vendors must have contracts and should ensure compliance of all above identified gaps"/>
    <s v="High"/>
    <s v="Policies &amp; Procedures"/>
    <s v="Maintenance Manager"/>
    <d v="2023-06-30T00:00:00"/>
    <m/>
    <s v="Closed"/>
    <s v="-"/>
    <s v="Closed"/>
    <s v="We will analyse the vendor contracts highlighted above and take appropriate action and seek legal approval for the same.  "/>
  </r>
  <r>
    <n v="181"/>
    <s v="BTC"/>
    <n v="2022"/>
    <s v="Maintenance"/>
    <s v="Asset management"/>
    <s v="Absence of defined mechanism for maintaining workshop tools, equipment, and service vans."/>
    <s v="During physical visit to Riyadh Workshop, we noted that there is lack of adequate control and mechanism of maintaining workshop mobile service vans, tools &amp; equipments. Following discrepancies were observed:_x000a_•_x0009_No system tracking of parts issued to mobile service vans._x000a_•_x0009_No Tools register being maintained at workshops._x000a_•_x0009_No documentation of Handover/Takeover of Toolkit assigned to technicians_x000a_•_x0009_No periodic testing of workshop equipments"/>
    <s v="•_x0009_Virtual location of mobile service vans should be created in system and transfer of parts/materials should be simultaneously performed along with physical movement._x000a_•_x0009_Process for transfer of parts/materials should be prepared and followed._x000a_•_x0009_Tools &amp; Equipments register must be maintained at all workshops_x000a_•_x0009_Periodic testing and proper upkeeping of workshop equipments must be performed._x000a_•_x0009_Process of Toolkit assignment to technicians/mechanics should be prepared and followed."/>
    <s v="Medium"/>
    <s v="Policies &amp; Procedures"/>
    <s v="Maintenance Manager"/>
    <d v="2023-06-30T00:00:00"/>
    <m/>
    <s v="Closed"/>
    <s v="-"/>
    <s v="Closed"/>
    <s v="In current system, we cannot create a sub warehouse to issue parts to mobile mechanic. so, we prepare a manual document to handover the spare parts to mechanic. And after consumption, he gives us manual work order report to create job cards in system. Going forward, we will create virtual location for mobile vans and issue required parts &amp; materials under that location._x000a_For maintaining and upkeeping of workshop equipment and tools, we will ensure proper procedures and periodic inspection are in place."/>
  </r>
  <r>
    <n v="182"/>
    <s v="BTC"/>
    <n v="2022"/>
    <s v="Maintenance"/>
    <s v="Asset management"/>
    <s v="Absence of Inspection checklist of vehicles under repairs"/>
    <s v="During physical visit to Riyadh Workshop dated 25th October 2022, it was observed that there is no inspection checklist prepared and available for vehicles while sending and receiving from external workshops."/>
    <s v="•_x0009_Management should ensure that every vehicle received for repair/maintenance must be inspected and Inspection checklist to be filled and attached along with the job cards._x000a_•_x0009_Periodic review must be performed to track &amp; monitor any discrepancies"/>
    <s v="Medium"/>
    <s v="Policies &amp; Procedures"/>
    <s v="Maintenance Manager"/>
    <d v="2023-06-30T00:00:00"/>
    <m/>
    <s v="Closed"/>
    <s v="-"/>
    <s v="Closed"/>
    <s v="We will ensure to maintain all checklists while sending and receiving the vehicle before and after repairs."/>
  </r>
  <r>
    <n v="183"/>
    <s v="BTC"/>
    <n v="2022"/>
    <s v="Maintenance"/>
    <s v="Asset management"/>
    <s v="Absence of performance review/monitoring of external workshops"/>
    <s v="•_x0009_Maintenance department had not developed any operational guidelines SLAs or checklists that should be used to monitor the performance of the selected or contracted workshops. _x000a_•_x0009_It was also noted that there is no performance review/evaluation done in past for contracted workshops."/>
    <s v="•_x0009_Management should develop SLAs and comprehensive maintenance and repair checklist that will measure efficiency of the Workshops like vehicle repeat jobs, any damages during repair, quality of work done, turnaround time for repair, cleanliness, etc. _x000a_•_x0009_Conducting evaluation of workshops in the maintenance and repair of company’s vehicles as a means of assessing their capacities and efficiencies_x000a_•_x0009_Inspection visits to be conducted in workshops to check how company’s vehicles are maintained"/>
    <s v="Medium"/>
    <s v="Policies &amp; Procedures"/>
    <s v="Maintenance Manager"/>
    <d v="2023-06-30T00:00:00"/>
    <m/>
    <s v="Closed"/>
    <s v="-"/>
    <s v="Closed"/>
    <s v="Maintenance department will create workshop inspection checklist to review workshop performance and efficiency and disseminate to workshop staff for adherences."/>
  </r>
  <r>
    <n v="184"/>
    <s v="BTC"/>
    <n v="2022"/>
    <s v="Maintenance"/>
    <s v="Asset management"/>
    <s v="Absence of cost benefit analysis performed between internal &amp; external workshops"/>
    <s v="•_x0009_It was observed that there is no comparative analysis prepared and available to review the cost effectiveness of repairs between internal &amp; external workshops._x000a_•_x0009_Cost-effectiveness ratio is most straightforward factor when comparing internal and external workshops for further business expansion."/>
    <s v="•_x0009_Management should prepare comparative analysis of maintenance expenses between internal and external workshops._x000a_•_x0009_If internal workshops are cost-effective then management may explore the possibility of opening new internal workshops at strategic locations."/>
    <s v="Medium"/>
    <s v="Operation"/>
    <s v="Maintenance Manager"/>
    <d v="2023-06-30T00:00:00"/>
    <m/>
    <s v="Closed"/>
    <s v="-"/>
    <s v="Closed"/>
    <s v="Maintenance department will prepare comparative analysis between internal and external workshop and consider the results prior to opening a new internal workshop"/>
  </r>
  <r>
    <n v="185"/>
    <s v="BTC"/>
    <n v="2022"/>
    <s v="Maintenance"/>
    <s v="Asset management"/>
    <s v="Unhygienic and unorganized condition of workshop"/>
    <s v="During physical visit and review dated 25th October 2022 of Riyadh workshop, following discrepancies were noted:_x000a_1._x0009_Lack of administrative well-being and unhygienic conditions._x000a_2._x0009_Workshop floor was damaged and not clean and unhygienic._x000a_3._x0009_Broken cabinets_x000a_4._x0009_No Reception or any appropriate sitting place available for customers visiting to Workshop._x000a_5._x0009_4 CCTV cameras were not functional._x000a_6._x0009_No arm pads for any of the lifters_x000a_7._x0009_Used parts/materials were lying in the workshop area._x000a_8._x0009_No safety shoes for technicians/staff_x000a_9._x0009_Non-availability of Security guards"/>
    <s v="•_x0009_Management should define and implement workshop inspection programs to resolve the identified issues._x000a_•_x0009_Periodic review and surprise visits must be conducted by the management."/>
    <s v="Medium"/>
    <s v="Operation"/>
    <s v="Maintenance Manager"/>
    <d v="2023-06-30T00:00:00"/>
    <m/>
    <s v="Closed"/>
    <s v="-"/>
    <s v="Closed"/>
    <s v="We will coordinate with facility department to make necessary arrangements to streamline workshop wellbeing and maintain hygienic condition and will ensure proper functioning of CCTV and other workshop equipment."/>
  </r>
  <r>
    <n v="186"/>
    <s v="BTC"/>
    <n v="2022"/>
    <s v="Maintenance"/>
    <s v="Asset management"/>
    <s v="Absence of mechanism of scrap sales"/>
    <s v="During physical review of Riyadh workshop and scrap items related process and recording, following discrepancies being observed:_x000a_•_x0009_No formal process for Scrap Sales_x000a_•_x0009_Scrap parts or materials lying haphazardly in workshop area. _x000a_•_x0009_Only one quotation was collected from vendor/scrap dealer._x000a_•_x0009_No records available for scrap sales/inventory at other locations of BTC network."/>
    <s v="We recommend that documented process &amp; policy to be introduced for Scrap Sales Policy &amp; approved by Management to enable clear direction of the Scrap identification, sales &amp; depositing of the income received."/>
    <s v="Low"/>
    <s v="Policies &amp; Procedures"/>
    <s v="Maintenance Manager"/>
    <d v="2023-06-30T00:00:00"/>
    <m/>
    <s v="Closed"/>
    <s v="-"/>
    <s v="Closed"/>
    <s v="Due to MOC rules regulations &amp; Baladiya fines, no one giving us official quotation to purchase scrap. The current process includes 2 to 3 informal quotations and sold to the highest quoted vendor in presence of maintenance Coordinators and support staff. _x000a_ It was due to lack of free place, now arranged and clear areas."/>
  </r>
  <r>
    <n v="187"/>
    <s v="BTC"/>
    <n v="2022"/>
    <s v="Fleet Control"/>
    <s v="Asset management"/>
    <s v="Absence of comprehensive fleet control policies and procedures"/>
    <s v="During IA review, it was noted that comprehensive policies and procedures covering all processes of the Fleet Control department are not in place._x000a_For effective and efficient operations and management, complete set of policies should be documented and approved as per authority matrix. _x000a_Such policies and procedures should include (but not limited to): _x000a_•_x0009_Comprehensive procedures of all processes, sub-processes and activities performed by Fleet Control department._x000a_•_x0009_Pre-mature retirement of vehicles_x000a_•_x0009_Fleet Control Reports and periodicity_x000a_•_x0009_Monitoring of BTC fleet in TAMM_x000a_•_x0009_Traffic violations and penalties"/>
    <s v="Comprehensive policies and procedures manual should be developed, approved, implemented, and updated on periodic basis."/>
    <s v="High"/>
    <s v="Policies &amp; Procedures"/>
    <s v="Fleet Control Manager"/>
    <d v="2023-06-30T00:00:00"/>
    <m/>
    <s v="Closed"/>
    <s v="-"/>
    <s v="Closed"/>
    <s v="An external consultant has already hired for the development of policy &amp; Procedures (same will be approved an applied accordingly)"/>
  </r>
  <r>
    <n v="188"/>
    <s v="BTC"/>
    <n v="2022"/>
    <s v="Fleet Control"/>
    <s v="Asset management"/>
    <s v="Absence of succession plan, job description and KPIs"/>
    <s v="During our review, we noted that:_x000a_1._x0009_Succession planning for Fleet control staff were not developed and available for review._x000a_2._x0009_Job descriptions for key staff were not developed and available for review._x000a_3._x0009_No KPIs are defined, approved, and communicated to key employees._x000a_4._x0009_Absence of defined mechanism for job rotation of fleet control staff."/>
    <s v="•_x0009_Management should prepare succession plan, get it approved as per authority matrix, and communicate it to the staff._x000a_•_x0009_Management should define KPI &amp; Job description &amp; get it approved annually as per authority matrix and communicate it to the staff."/>
    <s v="High"/>
    <s v="Org. structur, JD &amp; KPI's"/>
    <s v="Fleet Control Manager"/>
    <d v="2023-06-30T00:00:00"/>
    <d v="2024-12-31T00:00:00"/>
    <s v="Open Due"/>
    <n v="1096"/>
    <s v="More than 2 Years"/>
    <s v="Fleet Department with the coordination with HR to develop Departmental Job description, succession plan &amp; KPI’s of the Department key employees."/>
  </r>
  <r>
    <n v="189"/>
    <s v="BTC"/>
    <n v="2022"/>
    <s v="Fleet Control"/>
    <s v="Asset management"/>
    <s v="Lack of system-based management reports for fleet control department"/>
    <s v="During review, it was noted that there is no system based operational and management analytical reports. All types of operational analysis and evaluation prepared and submitted for management review and decisions are based on manual reports. Further, it was also noted that manual procedures were performed to remove abnormalities prior to generation of manual management reports compromising on data accuracy and reliability."/>
    <s v="•_x0009_Management should establish a standardized internal reporting that would specify the reports to be prepared and same to be define in system._x000a_•_x0009_Management should ensure that all such are automated and inbuilt in system."/>
    <s v="High"/>
    <s v="System &amp; Application"/>
    <s v="Fleet Control Manager"/>
    <d v="2023-12-31T00:00:00"/>
    <d v="2024-12-31T00:00:00"/>
    <s v="Open Due"/>
    <n v="912"/>
    <s v="More than 2 Years"/>
    <s v="Currently Management analytical reports are not functional in CarPro however We will develop standardise internal reports in new system and will define frequency and timelines of the reports to be generated periodically. All such reports will be automated and in built in new system."/>
  </r>
  <r>
    <n v="190"/>
    <s v="BTC"/>
    <n v="2022"/>
    <s v="Fleet Control"/>
    <s v="Asset management"/>
    <s v="Differences in Fleet records between CarPro vs TAMM"/>
    <s v="During our review it was noted that there are discrepancies and mismatch of vehicles as per records updated in CarPro and TAMM._x000a_CarPro is an internal system of BTC operations. Since inception, all fleet vehicles are recorded, updated, maintained, monitored, and tracked through this system. Whereas TAMM is an e-service portal managed by government agency, which helps entities working in transportation field like vehicles fleet owners, traders, and renters in Saudi Arabia to access all updated information of their respective vehicles from governmental sources. _x000a_While comparing the fleet data between CarPro and TAMM, following discrepancies has been observed:_x000a_1._x0009_Vehicle available in CarPro but not in TAMM:_x000a_ _x000a_2._x0009_Vehicles available in TAMM but not in CarPro (709 vehicles): "/>
    <s v="•_x0009_Management should define mechanism to keep our fleet records reconciled with TAMM records periodically._x000a_•_x0009_Ensure no delays has been occurred in ownership transfers in system._x000a_•_x0009_Stock monitoring reports (CarPro vs TAMM) should be maintained &amp; shared with Management on timely basis."/>
    <s v="High"/>
    <s v="Operation"/>
    <s v="Fleet Control Manager"/>
    <d v="2023-12-31T00:00:00"/>
    <d v="2024-12-31T00:00:00"/>
    <s v="Open Due"/>
    <n v="912"/>
    <s v="More than 2 Years"/>
    <s v="Management will take the following steps to eliminate the differences (available in TAMM not in CarPro):_x000a_1._x0009_For 687 vehicles, management has already started a process (Tameem and recovery) through traffic authority. Upon recovery of vehicles these will be handed over to the owners after recovery of related charges and transfer of ownership on their name._x000a_2._x0009_ 22 vehicles management is unable to identify these vehicles as these are very old models and will start the process for deleting vehicles from TAMM. _x000a_3._x0009_Management will also ensure regular monitoring of records between TAMM and CarPro and any differences identified will be resolved on timely manner."/>
  </r>
  <r>
    <n v="191"/>
    <s v="BTC"/>
    <n v="2022"/>
    <s v="Legal"/>
    <s v="Asset management"/>
    <s v="Absence of legal department policy and procedures"/>
    <s v="During IA review, it was noted that comprehensive policies and procedures covering all sub processes of the Legal department are not in place. _x000a_For effective and efficient operations and management of legal department, complete set of policies &amp; procedures in line with BTC business to be documented and approved as per authority matrix. Such policies &amp; procedures may include (but are not limited to) following areas relating to:_x000a_•_x0009_Legal principles for different types of contracts (Vendor, outsourcing, collection, and repossession)._x000a_•_x0009_Procedure, and timelines for review of new and renewal of contracts by legal department._x000a_•_x0009_Litigation management._x000a_•_x0009_Legal advisory._x000a_•_x0009_Collections legal remedial processes._x000a_•_x0009_Review of all contracts by Legal department prior to finalization. _x000a_•_x0009_Reporting high value/critical cases._x000a_•_x0009_Review of existing and potential disputes by Head of legal and CEO._x000a_•_x0009_Guidelines on confidentiality principles with legal firms._x000a_•_x0009_Process to identify applicable laws &amp; regulations._x000a_•_x0009_Centralized repository for maintaining applicable laws and regulations._x000a_•_x0009_Review of existing, reversal and fresh legal provisions._x000a_•_x0009_Scenarios, roles and responsibilities, timelines, approvals, and escalation matrix._x000a_•_x0009_Escalation of significant cases or cases with reputational or regulatory implications. _x000a_•_x0009_Cancellation/revocation of legal contracts._x000a_•_x0009_Contract Management._x000a_•_x0009_Retention of legal documents &amp; digital archiving."/>
    <s v="Comprehensive policies and procedures manual for legal department should be developed, approved as per DoA, and implemented accordingly"/>
    <s v="High"/>
    <s v="Policies &amp; Procedures"/>
    <s v="Head of Legal Department"/>
    <d v="2023-05-31T00:00:00"/>
    <m/>
    <s v="Closed"/>
    <s v="-"/>
    <s v="Closed"/>
    <s v="Management will develop policies and procedures for the legal function, get it approved from competent authority as per DOA and apply accordingly."/>
  </r>
  <r>
    <n v="192"/>
    <s v="BTC"/>
    <n v="2022"/>
    <s v="Legal"/>
    <s v="Asset management"/>
    <s v="Absence of department organization structure &amp; training program"/>
    <s v="During IA review, we noted that:_x000a_1)_x0009_Approved organizational structure for Legal department is not available._x000a_2)_x0009_Job descriptions for key Legal department staff are not developed and available for review._x000a_3)_x0009_No training has been conducted for legal department team &amp; have not attended any professional trainings or courses for skills management and enhancement."/>
    <s v="•_x0009_Management should prepare Org. structure, get it approved as per authority matrix, and communicate it to the staff._x000a_•_x0009_Management should define KPI &amp; JD, get it approved as per authority matrix and communicate it to the staff._x000a_•_x0009_Department should plan and arrange trainings for their staff relating to legal expertise, office management/skill enhancement trainings"/>
    <s v="High"/>
    <s v="Org. structur, JD &amp; KPI's"/>
    <s v="Head of Legal Department"/>
    <d v="2023-05-30T00:00:00"/>
    <d v="2024-12-31T00:00:00"/>
    <s v="Open Due"/>
    <n v="1127"/>
    <s v="More than 2 Years"/>
    <s v="Management will coordinate with the HR department to develop the above-mentioned documents and apply accordingly after approval."/>
  </r>
  <r>
    <n v="193"/>
    <s v="BTC"/>
    <n v="2022"/>
    <s v="Legal"/>
    <s v="Asset management"/>
    <s v="Manual and Inaccurate/incomplete legal cases status report"/>
    <s v="During audit review, the following were observed:_x000a_1._x0009_There is no readily available system generated legal cases status report for any specific required point of time, however the report is prepared and updated manually on excel sheet._x000a_2._x0009_Legal case status report provided for IA review is incomplete and erroneous._x000a__x0009_Out of 2944 cases reported, below are the instances:_x000a_•_x0009_34 cases were found without agreement number._x000a_•_x0009_94 cases with no due balances._x000a_•_x0009_34 cases were ruled with amounts more than due balances amounting to SAR 12.9 M SAR. See below table:_x000a__x000a_ _x000a_ Refer Appendix 7 for details._x000a_3._x0009_Success and recovery rate of legal cases is not provided and is not feasible to calculate due to erroneous and incomplete data."/>
    <s v="•_x0009_Legal case monitoring report should be generated through system to ensure accuracy and reliability. _x000a_•_x0009_Legal case due balances should be reassessed by finance, credit, and legal department to ensure accurate legal cases status report."/>
    <s v="High"/>
    <s v="Operation"/>
    <s v="Head of Legal Department"/>
    <d v="2023-05-30T00:00:00"/>
    <d v="2024-12-31T00:00:00"/>
    <s v="Open Due"/>
    <n v="1127"/>
    <s v="More than 2 Years"/>
    <s v="Legal team will ensure the completeness and accuracy of excel based comprehensive periodic legal cases report. This report will be reviewed by legal team head before submission to management to ensure accuracy. _x000a_Further, legal team will coordinate with management to see the feasibility and cost benefit analysis for enabling system based periodic reporting."/>
  </r>
  <r>
    <n v="194"/>
    <s v="BTC"/>
    <n v="2022"/>
    <s v="Legal"/>
    <s v="Asset management"/>
    <s v="Absence of cost benefit analysis prior to filing legal cases / litigations"/>
    <s v="During review, we noted that no cost benefit analysis is performed prior to filing legal cases / litigations. Cost benefit analysis is performed for legal cases to identify, if the stake involved is less than the expense in a legal case to take decision accordingly."/>
    <s v="Legal department should perform cost benefit analysis and present it to the management for approval, preceding to pursue for legal case"/>
    <s v="High"/>
    <s v="Operation"/>
    <s v="Head of Legal Department"/>
    <d v="2023-05-30T00:00:00"/>
    <d v="2024-12-31T00:00:00"/>
    <s v="Open Due"/>
    <n v="1127"/>
    <s v="More than 2 Years"/>
    <s v="Legal team will perform and document the cost benefit analysis before filing all the material cases.`"/>
  </r>
  <r>
    <n v="195"/>
    <s v="BTC"/>
    <n v="2022"/>
    <s v="Legal"/>
    <s v="Asset management"/>
    <s v="Absence of performance evaluation of legal function"/>
    <s v="During IA review of Legal function, it was noted that there is no formal performance evaluation of legal function. Legal function performance should be evaluated considering (but not limited to) the following indicators:_x000a_•_x0009_Ageing of legal cases._x000a_•_x0009_Success rate of legal cases._x000a_•_x0009_Recovery rate of ruled cases."/>
    <s v="Management should define process to perform periodic performance evaluation of legal function"/>
    <s v="High"/>
    <s v="Operation"/>
    <s v="Head of Legal Department"/>
    <d v="2023-05-30T00:00:00"/>
    <d v="2024-12-31T00:00:00"/>
    <s v="Open Due"/>
    <n v="1127"/>
    <s v="More than 2 Years"/>
    <s v="Legal function will submit periodic report to management for the evaluation of legal department performance including all relevant information specifically, aging of cases, success rate and recovery rate."/>
  </r>
  <r>
    <n v="196"/>
    <s v="BTC"/>
    <n v="2022"/>
    <s v="Legal"/>
    <s v="Asset management"/>
    <s v="Absence of contract tracking mechanism"/>
    <s v="During review of the legal department the following were identified:_x000a_1._x0009_Absence of master log file for contracts that BTC entered and are vetted by legal department._x000a_2._x0009_Copy of vetted contracts are not maintained by legal department."/>
    <s v="•_x0009_Legal department should develop and maintain a master log file, with details and their status, for all contracts that BTC entered and vetted by legal dept._x000a_•_x0009_The log file should be updated on a regular basis."/>
    <s v="High"/>
    <s v="Operation"/>
    <s v="Head of Legal Department"/>
    <d v="2023-05-30T00:00:00"/>
    <d v="2024-12-31T00:00:00"/>
    <s v="Open Due"/>
    <n v="1127"/>
    <s v="More than 2 Years"/>
    <s v="A standard copy of agreement is already vetted and provide to relevant department, amendments (if any) are sent to legal for vetting. We will keep records of all such contracts."/>
  </r>
  <r>
    <n v="197"/>
    <s v="BTC"/>
    <n v="2022"/>
    <s v="Legal"/>
    <s v="Asset management"/>
    <s v="Absence of defined service level agreement"/>
    <s v="During IA review, it was noted that no service level agreement exists between legal and other departments for smooth coordination and timely provision of information/data related to legal cases._x000a_Management should develop and implement SLA that should include the below items but not limited to such as: _x000a_•_x0009_Description of services._x000a_•_x0009_Service levels, metrics, and timeline._x000a_•_x0009_Escalation matrix for non-adherence to SLA._x000a_•_x0009_Duties and responsibilities of each department and remedies in case of non-observance."/>
    <s v="•_x0009_SLA should be developed, approved, and implemented, that governs activity related to legal department activities, within BTC legal and other departments._x000a_•_x0009_SLA should be circulated to all relevant departments."/>
    <s v="Medium"/>
    <s v="Policies &amp; Procedures"/>
    <s v="Head of Legal Department"/>
    <d v="2023-05-30T00:00:00"/>
    <d v="2024-12-31T00:00:00"/>
    <s v="Open Due"/>
    <n v="1127"/>
    <s v="More than 2 Years"/>
    <s v="Management will develop SLA between legal and other relevant departments and enforce it accordingly."/>
  </r>
  <r>
    <n v="198"/>
    <s v="BTC"/>
    <n v="2023"/>
    <s v="Procurement"/>
    <s v="Procure to Pay Cycle"/>
    <s v="&quot;Absence of defined performance measurement_x000a_mechanism and KPIs for procurement&quot;"/>
    <s v="On review of the procurement process, we noted the following:_x000a_1. Department budgets and expenditure against those budgets was not_x000a_being monitored and reported. There are no regular, formalized_x000a_reporting mechanisms to support Management decision-making._x000a_2. Reporting on Procurement activities consists of Monthly reports in the_x000a_form of a dashboard and Quarterly presentations which includes_x000a_performance results relating to, sourcing of new suppliers, negotiated_x000a_cost savings, implemented cost savings, and controlling number of_x000a_purchase orders. However, the following KPIs were not being_x000a_monitored:_x000a_a) Average time to procure._x000a_b) On time deliveries_x000a_c) Supplier defect rate_x000a_d) % outsourcing_x000a_e) Internal satisfaction levels_x000a_f) Quality rejections_x000a_g) Forecasting errors_x000a_3. There were no established KPIs to ascertain the efficiency,_x000a_effectiveness, or economies of scale for the procurement activities_x000a_(processing purchase requisitions, purchase orders, and receiving of_x000a_ordered goods and services)._x000a_4. Performance benchmarks for the activities being performed were_x000a_not identified and agreed with other Departments (End_x000a_users)."/>
    <s v=" A formal, documented performance measurement framework should_x000a_be developed to enable assessment of the efficiency and_x000a_effectiveness of the Procurement Department, to support_x000a_management decision-making._x000a_ The framework should include adequate performance indicators,_x000a_methods for collecting performance data, and mechanism of_x000a_reporting performance information._x000a_ Benchmarks / Indicators should be identified and approved, in line_x000a_with the business objectives, prior year results and Management_x000a_feedback."/>
    <s v="High"/>
    <s v="Org. structur, JD &amp; KPI's"/>
    <s v="Procurement_x000a_Supervisor"/>
    <d v="2024-03-31T00:00:00"/>
    <d v="2024-12-31T00:00:00"/>
    <s v="Open Due"/>
    <n v="821"/>
    <s v="More than 2 Years"/>
    <s v="Procurement department is in process of preparing KPIs, reporting mechanism and related parameters for the_x000a_department and getting approve from management."/>
  </r>
  <r>
    <n v="199"/>
    <s v="BTC"/>
    <n v="2023"/>
    <s v="Procurement"/>
    <s v="Procure to Pay Cycle"/>
    <s v="Absence of adequate governance for PO processes"/>
    <s v="During our review of 30 PO samples, we noted the following_x000a_documentation/implementation discrepancies:_x000a_i. 21 POs were found with no receipt acknowledgement on PO from_x000a_vendors amounting to SAR 159M._x000a_ii. 12 POs were found without vendor comparison sheets amounting_x000a_to SAR 109M._x000a_iii. 8 Manual Purchase orders amounting to a total of SAR 39M._x000a_iv. 1 PO with splitting of purchase order amounting to SAR 4.8M_x000a_v. There is no checklist and chronological arrangements of PO_x000a_related supporting documents._x000a_Please refer Appendix 4 for details"/>
    <s v=" The department should address all the above-listed shortfalls in PO_x000a_documentation, and all required supporting documents should be_x000a_properly filed in chronological order._x000a_ A checklist of required documents should be developed and applied_x000a_by procurement department."/>
    <s v="High"/>
    <s v="Operation"/>
    <s v="Procurement_x000a_Supervisor"/>
    <d v="2024-03-31T00:00:00"/>
    <m/>
    <s v="Closed"/>
    <s v="-"/>
    <s v="Closed"/>
    <s v="With the development of new procurement policies and procedures, the Department will prepare a standard_x000a_checklist of all required documents and take necessary steps/actions to ensure complete filing of supporting_x000a_and necessary required documents properly."/>
  </r>
  <r>
    <n v="200"/>
    <s v="BTC"/>
    <n v="2023"/>
    <s v="Procurement"/>
    <s v="Procure to Pay Cycle"/>
    <s v="Long pending purchase orders"/>
    <s v="During review, we noted that lease quotations were approved and_x000a_pending for long since 2021. These purchase orders are related to_x000a_vehicle purchases and are pending in the interim stages i.e., Purchase_x000a_Order prepared and Delivery in Process. It concludes that open_x000a_purchase orders have no procedures set to close it with a limited_x000a_period._x000a_Below are the year-wise details mentioned as under:_x000a_Year of_x000a_Purchase_x000a_No. of_x000a_POs_x000a_PO_x000a_Amount_x000a_Ordered_x000a_Quantity_x000a_Received_x000a_Quantity_x000a_2021 22 42,677,555 527 302_x000a_2022 17 9,551,550 153 25_x000a_Total 39 52,229,105 680 327_x000a_Please refer Appendix 5 for details"/>
    <s v=" Management should generate reports of all open/pending_x000a_purchase orders on a periodic basis to identify and close Pos_x000a_which are no longer required._x000a_ Proper reasoning and justification must be maintained for each_x000a_pending purchase order and their status."/>
    <s v="High"/>
    <s v="Operation"/>
    <s v="Procurement_x000a_Supervisor"/>
    <d v="2023-12-31T00:00:00"/>
    <d v="2024-12-31T00:00:00"/>
    <s v="Open Due"/>
    <n v="912"/>
    <s v="More than 2 Years"/>
    <s v="The department will take correction action by consulting with IT department and business owners, further a_x000a_policy should be established for periodic review of open POs for their timely action to close open POs."/>
  </r>
  <r>
    <n v="201"/>
    <s v="BTC"/>
    <n v="2023"/>
    <s v="Procurement"/>
    <s v="Procure to Pay Cycle"/>
    <s v="Absence of standard purchase price for non-core business items"/>
    <s v="During review of Procurement process, it was noted that neither_x000a_rates/prices have been standardized in system for all routine purchases_x000a_made like printing materials, IT equipment and related items, stationary_x000a_items, additional fitments related to vehicles etc. nor a blanket purchase_x000a_order is issued for such purchases._x000a_It was observed that the procurement department seeks new/fresh_x000a_quotations every time a new purchase requisition is received._x000a_This process tends to lengthy processing time &amp; time blockage of various_x000a_approval authorities including CEO."/>
    <s v="Management should standardize the rates of all routine purchases_x000a_throughout regions and upload them to the system or issue a_x000a_blanket PO for such purchases."/>
    <s v="Medium"/>
    <s v="Operation"/>
    <s v="Procurement_x000a_Supervisor"/>
    <d v="2023-12-31T00:00:00"/>
    <m/>
    <s v="Closed"/>
    <s v="-"/>
    <s v="Closed"/>
    <s v="Department will discuss with higher management and check the feasibility and materiality of standardizing_x000a_rates and vendors."/>
  </r>
  <r>
    <n v="202"/>
    <s v="BTC"/>
    <n v="2023"/>
    <s v="Treasury"/>
    <s v="Procure to Pay Cycle"/>
    <s v="Unrecorded liability in the relevant period"/>
    <s v="We noted that fine and penalties related expenses of Oct, Nov and_x000a_December 2022 amounting to SAR. 699,000 are not recorded in the_x000a_relevant period. These expenses are recorded and paid in January_x000a_2023."/>
    <s v="Management should:_x000a_ develop closing policies and procedures._x000a_ ensure recording of all expenses in the relevant period."/>
    <s v="High"/>
    <s v="Operation"/>
    <s v="Finance Manager"/>
    <d v="2023-12-31T00:00:00"/>
    <m/>
    <s v="Closed"/>
    <s v="-"/>
    <s v="Closed"/>
    <s v="We were notified of these violations after 2022 Closing, so these expenses were recorded and paid in after_x000a_Dec 2022._x000a_We will ensure recording of all expenses in the relevant period by confirming with all departments such as_x000a_fleet management that there are no expenses goes unrecorded related to the period."/>
  </r>
  <r>
    <n v="203"/>
    <s v="BTC"/>
    <n v="2023"/>
    <s v="Treasury"/>
    <s v="Procure to Pay Cycle"/>
    <s v="Absence controls over bank reconciliation statements"/>
    <s v="1. We noted that bank reconciliation statements are not prepared_x000a_manually on excel and not through Dynamic accounting system._x000a_2. Further these excel based bank reconciliations statements_x000a_provided, are not showing any sign of review and approval,_x000a_neither showing the date of preparation."/>
    <s v="Management should:_x000a_ develop BRS process._x000a_ prepare bank reconciliation statements on timely basis_x000a_through accounting system Dynamics and not by excel,_x000a_further these should be reviewed and approved by the_x000a_designated staff."/>
    <s v="High"/>
    <s v="System &amp; Application"/>
    <s v="Finance Manager"/>
    <d v="2023-12-31T00:00:00"/>
    <m/>
    <s v="Closed"/>
    <s v="-"/>
    <s v="Closed"/>
    <s v="Bank reconciliations are prepared manually through Excel on timely basis, due to the inability to prepare_x000a_them through the accounting system because there is no unique number for the transfers that helps us to_x000a_preparing in the system._x000a_We will consider preparation of bank reconciliations by ERP system after discussion with dynamic team_x000a_and ensure reviewer and approval controls manually."/>
  </r>
  <r>
    <n v="204"/>
    <s v="BTC"/>
    <n v="2023"/>
    <s v="Finance"/>
    <s v="Procure to Pay Cycle"/>
    <s v="Absence of Accrual for Bonus for the year 2022"/>
    <s v="During review, we noted that there is no accrual made as on 31st_x000a_December 2022 for bonus amounting to SAR. 3 million approximately_x000a_relating to the performance of year 2022, paid in 2023."/>
    <s v="Management should:_x000a_ develop closing policies and procedures._x000a_ ensure recording of all expenses in the relevant period."/>
    <s v="High"/>
    <s v="Operation"/>
    <s v="Finance Manager"/>
    <d v="2023-12-31T00:00:00"/>
    <d v="2024-12-31T00:00:00"/>
    <s v="Closed"/>
    <s v="-"/>
    <s v="Closed"/>
    <s v="It was calculated &amp; approved by the Board of Directors after issuing the financial statements._x000a_We will ensure recording of all expenses/costs in the relevant period by confirming with departmental heads_x000a_and top management regarding performance of year."/>
  </r>
  <r>
    <n v="205"/>
    <s v="BTC"/>
    <n v="2023"/>
    <s v="Lease Sales and Business Development"/>
    <s v="Lead to Collection"/>
    <s v="Lack of Sales Variance Analysis Hinders Performance Monitoring and Achievement of Organizational Objectives"/>
    <s v="For the year 2023, actual lease sales revenue is almost 32% less than the budgeted revenue._x000a_It was observed that there is no documented sales variance analysis available for review. Variance analysis is a powerful tool for performances monitoring and always assist in achieving the organizational objectives."/>
    <s v="Management should develop detailed variance analysis on at least quarterly basis to monitor the company direction and pace towards achieving the goals and objectives."/>
    <s v="High"/>
    <s v="Operation"/>
    <s v="Sales Manager"/>
    <d v="2024-09-30T00:00:00"/>
    <d v="2025-12-31T00:00:00"/>
    <s v="Open Due"/>
    <n v="638"/>
    <s v="Less than 2 Years"/>
    <s v="Management will prepare detailed sales variance analysis on periodic basis showing the reasoning of differences between actual sales and budgeted sales."/>
  </r>
  <r>
    <n v="206"/>
    <s v="BTC"/>
    <n v="2023"/>
    <s v="Lease Sales and Business Development"/>
    <s v="Lead to Collection"/>
    <s v="Absence of a Robust Lost Quotation Analysis Process"/>
    <s v="During our review, we noted that 538 (88%) of total quotations were lost during 2023. This is a very high lost quotation rate, and it is a cause for concern._x000a_However, we also noted that there is no lost quotation ratio, detailed analysis, or reasoning of rejection has been documented and available. This makes it difficult to understand the reasons for the high lost quotation rate and to develop and implement effective corrective actions._x000a_A total of 614 requests for quotations were received during 2023, out of which only 76 (12%) were successfully converted into sales. This is a very low conversion rate, and it is also a cause for concern."/>
    <s v="Management should develop and implement a process for tracking and analyzing lost quotations. This process should include:_x000a_•_x000a_Tracking the number of quotations lost_x000a_•_x000a_Identifying the reasons for the lost quotations_x000a_•_x000a_Developing and implementing corrective actions to address the reasons for the lost quotations."/>
    <s v="High"/>
    <s v="Operation"/>
    <s v="Sales Manager"/>
    <d v="2024-09-30T00:00:00"/>
    <d v="2025-12-31T00:00:00"/>
    <s v="Open Due"/>
    <n v="638"/>
    <s v="Less than 2 Years"/>
    <s v="Management has already started development of lost quotation analysis, it will be used to analysis the lost sales and taking measures in future to expand the business and controlling the weaken areas."/>
  </r>
  <r>
    <n v="207"/>
    <s v="BTC"/>
    <n v="2023"/>
    <s v="Lease Sales and Business Development"/>
    <s v="Lead to Collection"/>
    <s v="Absence of Profitability Analysis for Lease Customers upon renewals"/>
    <s v="It was observed that there is no analysis available and performed to identify the profitability of Lease clients upon renewal, closing, termination &amp; early retirements of contracts._x000a_Customer-wise profitability analysis is helpful and required to measure &amp; evaluate the margins &amp; costs of customers in line with the benchmarking/ parameters considered while calculating the lease pricing."/>
    <s v="•_x000a_Management must ensure that the profitability and recovery analysis should be prepared and reviewed on periodic basis, especially at renewals to identify the margins._x000a_•_x000a_Management should explore possibilities to retain the customers with target profits"/>
    <s v="High"/>
    <s v="Operation"/>
    <s v="Sales Manager"/>
    <d v="2024-09-30T00:00:00"/>
    <d v="2025-12-31T00:00:00"/>
    <s v="Open Due"/>
    <n v="638"/>
    <s v="Less than 2 Years"/>
    <s v="Management will coordinate with related departments for development of individual client profitability analysis and consider it while renewal of contracts."/>
  </r>
  <r>
    <n v="208"/>
    <s v="BTC"/>
    <n v="2023"/>
    <s v="Lease Sales and Business Development"/>
    <s v="Lead to Collection"/>
    <s v="Failure to Consider Insurance Claim Deductible Amount in Lease Agreement Renewals"/>
    <s v="We noted that the insurance claim deductible amount as per insurance_x000a_policy 2023-2024 is SAR. 2000 and SAR. 2500._x000a_While at the time of renewal of certain lease agreements the company_x000a_has not considered and revised the claim deductable amount and_x000a_charged a lower amount of deductible to client."/>
    <s v="In case of old contracts renewal management should consider the claim_x000a_deductibles applicable in current year insurance policy, and at least_x000a_update the new contract accordingly."/>
    <s v="High"/>
    <s v="Operation"/>
    <s v="Sales Manager"/>
    <d v="2024-09-30T00:00:00"/>
    <d v="2025-12-31T00:00:00"/>
    <s v="Open Due"/>
    <n v="638"/>
    <s v="Less than 2 Years"/>
    <s v="At the time of renewal of these contracts or in case of any other new contract management will ensure the_x000a_claim deductibles are properly charged as per the insurance policy."/>
  </r>
  <r>
    <n v="209"/>
    <s v="BTC"/>
    <n v="2023"/>
    <s v="Operations"/>
    <s v="Lead to Collection"/>
    <s v="Gaps identified in Approved policies and procedures for Operations"/>
    <s v="During IA review, it was noted that available policies and procedures are not covering all sub processes of the operations in detail._x000a_Following discrepancies/deficiencies were observed:_x000a_•_x000a_No detailed processes and sub-processes like Preleasing vehicles, receiving car from procurement, extended agreements, replacement vehicles in case of accidents, total loss, damages etc., handover vehicle to Maintenance dept for repairs, renewal of MVPI, returning of vehicle upon contract expiry, retirement (including early retirement) of vehicles, issuing special permission to travel outside kingdom, Internal transfers of vehicles, etc._x000a_•_x000a_Duplication of processes &amp; sub-processes (like opening of new agreement, preparing vehicle inspection checklist, replacement vehicles)_x000a_•_x000a_No process flowcharts prepared and attached._x000a_•_x000a_No turn-around-time specified for any processes and sub-processes._x000a_•_x000a_Related documentation like vehicle checklist, TAMM registration not specified._x000a_•_x000a_In case of replacement vehicles, opening of new agreement is mentioned._x000a_•_x000a_Purchase of spare parts lies under Maintenance dept. and not under operations._x000a_•_x000a_Roles &amp; responsibilities of designated staff were not clearly specified like Fleet document keeper._x000a_•_x000a_Flow of procedures were not followed in sequence._x000a_•_x000a_No specimen copies attached for documents like vehicle repair form, vehicle relay model, customer survey form, feedback form and other necessary forms._x000a_•_x000a_No Process for routine maintenance at channel/network workshops_x000a_•_x000a_Direct calls from client to accident representative instead of lease coordinator upon accidents_x000a_•_x000a_Accident representative visiting to accident spot/scene to check the accident and provide replacement vehicle is not feasible._x000a_•_x000a_Only heading mentioned and no procedures written below for Point # 14 Preventive Car Maintenance Programmed policies and procedures."/>
    <s v="Comprehensive policies and procedures manual should be developed, approved, implemented, and updated on periodic basis._x000a_•_x000a_Policy &amp; Procedures should also include the process related to sale to group companies/subsidiaries"/>
    <s v="High"/>
    <s v="Policies &amp; Procedures"/>
    <s v="Operations Manager"/>
    <d v="2024-07-30T00:00:00"/>
    <m/>
    <s v="Closed"/>
    <s v="-"/>
    <s v="Closed"/>
    <s v="Most of those comments are followed correctly by the operation team. However, the policy will be enhanced and updated addressing highlighted areas and will be implemented accordingly."/>
  </r>
  <r>
    <n v="210"/>
    <s v="BTC"/>
    <n v="2023"/>
    <s v="Operations"/>
    <s v="Lead to Collection"/>
    <s v="Penalties incurred due to delay in renewal of vehicle registration"/>
    <s v="Internal audit has analysed TAMM records dated 7th September 2023 and observed that._x000a_•_x000a_There are 1985 vehicles with expired registration._x000a_•_x000a_Upon renewal of these vehicles, penalty of SR 100/year will be charged. The penalty amount constitutes an estimate financial loss of SAR 166,800 to the company._x000a_•_x000a_80 vehicles under Ready, Rented &amp; Out of Service statuses for which registration is expired and pending for more than 6 years to 25 years. Out of which 44 vehicles are of model year ranging from 2000 to 2010._x000a_Refer Appendix 4 for year-wise summary of penalties"/>
    <s v="•_x000a_Management should take immediate action on reconciling the actual fleet with the TAMM records and identify the differences._x000a_•_x000a_Control gap/root cause analysis to be conducted to identify the process deficiencies and implement appropriate controls to mitigate such risks._x000a_•_x000a_Establish accountability in case of non-renewal and registration in a timely manner without proper justification._x000a_•_x000a_A comprehensive process and mechanism should be developed and applied for timely renewal of MVPI and registration._x000a_•_x000a_Registration renewal of actual active fleet should be initiated on priority to avoid further penalties/ fines from traffic authorities"/>
    <s v="High"/>
    <s v="Operation"/>
    <s v="Operations Manager"/>
    <d v="2024-07-30T00:00:00"/>
    <m/>
    <s v="Closed"/>
    <s v="-"/>
    <s v="Closed"/>
    <s v="Work on progress to finalize those old cases, knowing that part of 1985 vehicles are even sold or to be sold. Management will review and develop a comprehensive process to avoid any unnecessary delay in renewal of MVPI and registration."/>
  </r>
  <r>
    <n v="211"/>
    <s v="BTC"/>
    <n v="2023"/>
    <s v="Operations"/>
    <s v="Lead to Collection"/>
    <s v="Traffic fines incurred due to non-updating or expired User authorization"/>
    <s v="After opening the rental agreement, operation must authorize immediately in TAMM the driver to secure company for any fine coming against violation of traffic rules. In case of failure the fines directly came to BTC name and subsequently charged to client._x000a_Internal audit has reviewed the driver authorization uploaded in TAMM and observed inconsistencies and irregularities in updating the driver details in TAMM._x000a_Following are reasons of Traffic fines violations incurred on BTC:_x000a_•_x000a_Time period (Authorization validity) expired in TAMM._x000a_•_x000a_Extended agreements not authorized in TAMM for extended period._x000a_•_x000a_Customer Service Representative (CSR) forgot to update TAMM with driver details._x000a_•_x000a_Expired Driving License / ID automatically deactivate TAMM authorization._x000a_•_x000a_Vehicle parked in non-parking area._x000a_•_x000a_Vehicle Insurance expired._x000a_•_x000a_Inter Branch transfers without Driver Authorization_x000a_•_x000a_Damage Vehicle Plates_x000a_•_x000a_Expired Vehicle Registration_x000a_•_x000a_Expired MVPI_x000a_It was noted that as of August 2023, there were 908 violations amounting to SR 229,500 paid by BTC. Out of which SAR 197,700 has been charged to customers &amp; SAR 28,600 has been incurred on BTC due to unauthorized structural modification of vehicles._x000a_Summary of Traffic fines details during the period January 2023 to August 2023: Category No. of violations Amount_x000a_Charged to Agreements/Used Cars_x000a_858_x000a_197,700_x000a_Deduction from Employee_x000a_11_x000a_2,200_x000a_Fines incurred on BTC_x000a_38_x000a_28,600_x000a_Wrongly charged to BTC_x000a_1_x000a_1,000 Total 229,500"/>
    <s v="•_x000a_TAMM system is weekly /biweekly updated by the department to ensure timely updating of information on the traffic system, furthermore accountability and responsibility should be established and investigated._x000a_•_x000a_Process to be defined for TAMM authorization &amp; updating._x000a_•_x000a_Ensure Sold vehicles must be updated with buyer's info. in TAMM upon delivery._x000a_•_x000a_Ensure that all penalties charged back to the customers are accepted and collected by customer, as collectability is highly probable."/>
    <s v="High"/>
    <s v="Operation"/>
    <s v="Operations Manager"/>
    <d v="2024-07-30T00:00:00"/>
    <m/>
    <s v="Closed"/>
    <s v="-"/>
    <s v="Closed"/>
    <s v="This was caused by two main reasons, first the update of Tamm system from individuals to business, the second reason is caused by financing companies, for this we have reviewed all the unauthorized vehicles and we have finalized it all, on the other hand we have changed the authorization to be actual user so it will be never expired._x000a_Weekly reports are shared by the Fleet department to follow up on authorization._x000a_Note: as of today, you will find 99 unauthorized vehicles only which are under delivery or waiting letters from financing companies._x000a_Currently, we are working to integrate with Tamm so all opened agreements will be authorized by the new ERP automatically."/>
  </r>
  <r>
    <n v="212"/>
    <s v="BTC"/>
    <n v="2023"/>
    <s v="Operations"/>
    <s v="Lead to Collection"/>
    <s v="Expired agreements pending Open since long period"/>
    <s v="It was observed that there are 63 lease agreements wherein the contract period is expired/completed/matured but still Open in the system._x000a_It was also noted that there are old agreements since 2003 in the system which are reflecting as Open status._x000a_Upon further analysis, we noted that there is no invoicing against these agreements and vehicles associated with these agreements are under Rented, Ready &amp; Sold status._x000a_Details of expired agreements with Check-out &amp; Check-in year-wise with Open status are as under:"/>
    <s v="Management should analyze and take the necessary action of extending, renewing, or closing these agreements in the system on an immediate basis._x000a_All vehicles associated with these agreements should be traced and identify the actual physical status and update the system accordingly._x000a_•_x000a_Pending invoices, if any, should be generated and submitted to customers as a priority._x000a_•_x000a_Pending collections of due amounts related to these agreements to be performed._x000a_•_x000a_Management should develop a periodic monitoring mechanism to identify &amp; evaluate the long open agreements for expired periods."/>
    <s v="High"/>
    <s v="Operation"/>
    <s v="Operations Manager"/>
    <d v="2024-07-30T00:00:00"/>
    <m/>
    <s v="Closed"/>
    <s v="-"/>
    <s v="Closed"/>
    <s v="Weekly reports will be shared by the Fleet department to follow up on those agreements._x000a_Management will review and perform comprehensive exercise to correct agreement status based on actual position and will close the required agreements"/>
  </r>
  <r>
    <n v="213"/>
    <s v="BTC"/>
    <n v="2023"/>
    <s v="Operations"/>
    <s v="Lead to Collection"/>
    <s v="Inadequate monitoring of replacement vehicles"/>
    <s v="There are 140 vehicles under replacement issued to lease customers against permanent vehicles due to various reasons like repair &amp; maintenance, accidents, stolen, police cases, total loss etc._x000a_36 out of 140 vehicles are under replacement for more than 30 days with customers (wherein the status of permanent vehicles was out of service and ready)._x000a_Aging analysis of replacement vehicles are as under:"/>
    <s v="•_x000a_Establish a clear and comprehensive process outlining procedures along with turnaround time for every type of replacement._x000a_•_x000a_Periodic review and monitoring must be performed and immediate action to be taken by management for all exceeding timeline cases._x000a_•_x000a_System alerts and notifications functionality should be implemented for periodic monitoring and actions."/>
    <s v="High"/>
    <s v="Operation"/>
    <s v="Operations Manager"/>
    <d v="2024-07-30T00:00:00"/>
    <m/>
    <s v="Closed"/>
    <s v="-"/>
    <s v="Closed"/>
    <s v="Management will establish a comprehensive process along with turnaround time for replacements and ensure periodic monitoring and necessary corrective actions to control delay/aged replacements with customers."/>
  </r>
  <r>
    <n v="214"/>
    <s v="BTC"/>
    <n v="2023"/>
    <s v="Operations"/>
    <s v="Lead to Collection"/>
    <s v="No repository available for Ministry of transportation regulations"/>
    <s v="It was noted that there is no mechanism in place to identify the Ministry of Transportation regulatory requirements applicable to BTC operations._x000a_There is no repository available with BTC Operations about the types of violations &amp; penalties applied due to non-compliance of regulations for cars, buses &amp; trucks."/>
    <s v="Periodically regulatory websites are checked to monitor any changes in the applicable regulations._x000a_•_x000a_Comprehensive repository should be maintained and monitored on periodic basis."/>
    <s v="Medium"/>
    <s v="Operation"/>
    <s v="Fleet Control Manager, Operation Manager"/>
    <d v="2024-07-30T00:00:00"/>
    <m/>
    <s v="Closed"/>
    <s v="-"/>
    <s v="Closed"/>
    <s v="Fleet department is always following up on MOT updates through all channels. However, we will coordinate with the Compliance dept. for regular updates and maintain repositories for all applicable transportation regulations."/>
  </r>
  <r>
    <n v="215"/>
    <s v="BTC"/>
    <n v="2023"/>
    <s v="Operations"/>
    <s v="Lead to Collection"/>
    <s v="Overdue lease agreements"/>
    <s v="It was observed that there are 174 overdue lease agreements which got_x000a_expired in November 2023 but still active in system._x000a_It is understood that either these vehicles were not returned from_x000a_customers and extended the agreement period or if returned then the_x000a_system agreement still not close and vehicles statuses are still updated as_x000a_Rented._x000a_Customer-wise details are mentioned as under:"/>
    <s v="•_x000a_Management should develop a periodic monitoring mechanism to identify &amp; evaluate the long open agreements for expired periods._x000a_•_x000a_Management should analyze and take the necessary action of extending, renewing, or closing these agreements in system on immediate basis."/>
    <s v="Medium"/>
    <s v="Operation"/>
    <s v="Operations Manager"/>
    <d v="2024-07-30T00:00:00"/>
    <m/>
    <s v="Closed"/>
    <s v="-"/>
    <s v="Closed"/>
    <s v="Management will review these agreements and take corrective action. Management will establish a suitable monitoring process to control the overdue agreement."/>
  </r>
  <r>
    <n v="216"/>
    <s v="BTC"/>
    <n v="2023"/>
    <s v="Operations"/>
    <s v="Lead to Collection"/>
    <s v="Inadequate control over operations"/>
    <s v="1._x000a_Company Use vehicles: It was observed that there is no availability of systematic report of vehicles under company-use or employee-use running under operations. Below mentioned allotment form approved by management is not available for review. Plate Vehicle Model Description Location Employee_x000a_7767JEB_x000a_Sunny_x000a_2015_x000a_Ahmed Mohsen_x000a_Medina_x000a_Ahmed Mohsen_x000a_5122JKG_x000a_Sunny_x000a_2015_x000a_MOHAMMED REDA / JEDDAH W/S_x000a_Jeddah_x000a_MOHAMMED REDA_x000a_7879AZZ_x000a_URVAN 2.5L GAS CARGO_x000a_2012_x000a_USE AS MOB W/SHOP._x000a_Khobar_x000a_Khasif_x000a_2673BBZ_x000a_FRR 7T 6.07 WINCH_x000a_2015_x000a_Tasnee, APC, TUV &amp; Farabi Projects Service Car_x000a_Jeddah_x000a_Albilad employee_x000a_3301BBK_x000a_NPR 5T 4.95 WINCH_x000a_2016_x000a_HAMAD / WINCH_x000a_Jeddah_x000a_Albilad employee_x000a_7796ALN_x000a_HIACE 2.5L_x000a_2012_x000a_AHMED SADDIQUE_x000a_Jubail_x000a_AHMED SADDIQUE_x000a_335ENK_x000a_SUZUKI APV BLIND VAN_x000a_2007_x000a_لا يوجد اي بيانات بخصوص استخدامها السيارة و مكان_x000a_استخدامها_x000a_A record is maintained in excel spreadsheet by used cars department and not comprehensive or updated. In such scenario, Internal audit cannot comment the reliability and accuracy of these records._x000a_2._x000a_Spare Key Management: It was observed that there is no clearly defined mechanism for the management of spare keys for the vehicles in the rental fleet. On sample basis, we verified that spare keys are found missing. There is no apparent key management system in place to facilitate efficient tracking and retrieval of spare keys."/>
    <s v="•_x000a_The comprehensive process of issuing company vehicles to employees should be defined, maintained, and monitored on a periodic basis._x000a_•_x000a_Establish a clear and comprehensive policy outlining procedures for the duplication, storage, and management of spare keys for each vehicle in the rental fleet. Improve the security of the storage area for spare keys with restrict access to authorized personnel only."/>
    <s v="Medium"/>
    <s v="Operation"/>
    <s v="Operations Manager"/>
    <d v="2024-07-30T00:00:00"/>
    <d v="2025-12-31T00:00:00"/>
    <s v="Open Due"/>
    <n v="700"/>
    <s v="Less than 2 Years"/>
    <s v="Management will establish mechanisms for allotting, maintaining, and monitoring of all company use vehicles and apply these procedures accordinglys. We will also define proper procedures for maintaining vehicle spare keys."/>
  </r>
  <r>
    <n v="217"/>
    <s v="BTC"/>
    <n v="2023"/>
    <s v="Used Cars"/>
    <s v="Lead to Collection"/>
    <s v="Inadequate control over quotations received from customers"/>
    <s v="During our review of sample quotations received, we noted the following:_x000a_1.1. Quotes are handwritten and unsigned or unstamped from_x000a_exhibitions._x000a_(Instances are provided in Appendix # 5, 1.1)_x000a_1.2. Quotations were received without closed envelopes. (Instances_x000a_are provided in Appendix # 5, 1.2)"/>
    <s v="• Update the policy to increase the reliability of received quotations by_x000a_requiring all quotations to be typed, signed, and stamped. Additionally,_x000a_adequate controls should be in place to validate the authenticity and_x000a_reliability of exhibited quotations._x000a_• Establish a centralized system for receiving and documenting_x000a_quotations. This system should require all quotations to be submitted_x000a_in sealed envelopes to authorized personnel, irrespective of the_x000a_communication channel used."/>
    <s v="High"/>
    <s v="Operation"/>
    <s v="Used Car Manager"/>
    <d v="2024-07-30T00:00:00"/>
    <m/>
    <s v="Closed"/>
    <s v="-"/>
    <s v="Closed"/>
    <s v="1- Used Cars Dept receiving sealed envelopes from envelope opening committee that submitted by_x000a_customers (showrooms and individual) and we have no prior idea about what is written in the_x000a_quotations and is it stamped or not, this is the reason of receiving unsigned or unstamped quotations,_x000a_Customers will be notified that the quotations must be stamped, except for individual customers._x000a_[Implementation Date: April-2024]_x000a_2- Used Cars Dept received a clear instruction from audit to only way to sale the vehicles are through_x000a_bidding with sealed envelopes after 25-07-2022._x000a_The process of bidding and receiving price offers will be through the new system and it is expected to be_x000a_implemented soon. [Implementation Date: June-2024]"/>
  </r>
  <r>
    <n v="218"/>
    <s v="BTC"/>
    <n v="2023"/>
    <s v="Used Cars"/>
    <s v="Lead to Collection"/>
    <s v="Inadequate controls over transfer of vehicles ownership."/>
    <s v="•_x000a_It was observed that vehicles were not blocked (freeze) in the TAMM system which may allow unauthorized transfer of vehicle ownership._x000a_Summary of unfreeze vehicles are mentioned as under as of 9th November 2023: Vehicle Status in TAMM No. of vehicles Percentage_x000a_Freeze_x000a_3201_x000a_42%_x000a_Unfreeze_x000a_4426_x000a_58%_x000a_Total_x000a_7627_x000a_100%_x000a_•_x000a_It was also noted that customers/users were not authorized/expired in the TAMM system for sold vehicles. رقم اللوح ة تاري خ البيع اسم المستخدم الفع ل_x000a_د ب ح 4240_x000a_-_x000a_06/01/2022_x000a_أ ر ر 3708_x000a_-_x000a_25/09/2022_x000a_د ط و 8615_x000a_-_x000a_30/01/2022_x000a_د ب ح 4153_x000a_-_x000a_12/10/2022_x000a_د د ق 5465_x000a_-_x000a_30/01/2022_x000a_د ق ح 7417_x000a_-_x000a_30/08/2023_x000a_ب س ر 8614_x000a_-_x000a_23/05/2023_x000a_ب س ن 4552_x000a_-_x000a_20/03/2023_x000a_د ق و 8061_x000a_-_x000a_09/02/2023"/>
    <s v="•_x000a_Strengthen the control mechanisms within the TAMM system._x000a_•_x000a_Develop clear guidelines and processes for promptly blocking/freezing the vehicles in TAMM"/>
    <s v="High"/>
    <s v="Operation"/>
    <s v="Used Car Manager"/>
    <d v="2024-07-30T00:00:00"/>
    <m/>
    <s v="Closed"/>
    <s v="-"/>
    <s v="Closed"/>
    <s v="1_x000a_- Fleet control dept is the concerned for freezing d unfreezing the vehicles in TAMM system and used cars dept send request to fleet control to unfreeze only the vehicles that have completed sales process to allow the purchaser to transfer to ownership._x000a_2_x000a_- We have started authorizing the sold cars to Insurance companies as well and for other cases will enhance and monitor on regular basis the Tamm authorization."/>
  </r>
  <r>
    <n v="219"/>
    <s v="BTC"/>
    <n v="2023"/>
    <s v="Used Cars"/>
    <s v="Lead to Collection"/>
    <s v="Non-compliance with used car sales policy"/>
    <s v="During the review of the current period used car sales, it was observed that._x000a_advertisements promoting bidding on car-selling sites (Haraj, Saudi Sale,_x000a_Motory, etc.) and social networking as stated in the used car sales policy was_x000a_not followed. Resulting there is a significant concentration by customers and_x000a_total used car sales are moving around only seven customers._x000a_We noted the followings:_x000a_• Seven bidders won 62% of all auctions/biddings made._x000a_• These seven bidders purchased 71% of all cars sold during the period_x000a_June 2022 to October 2023._x000a_• These seven bidders represent 21% of the total number of bidders_x000a_involved._x000a_Currently, BTC WhatsApp business account which have more than 50+_x000a_customers are used for bid promotions and advertisements."/>
    <s v="•_x000a_Encourage broader bidders to participate, actively promote the auctions to a wider audience, and explore methods to attract new bidders. This could involve expanding marketing efforts, reaching out to potential bidders, or collaborating and advertising with external auction platforms to diversify the number of participants._x000a_•_x000a_Develop and launch advertisements promoting BTC bidding on relevant car-selling sites and social networking platforms."/>
    <s v="High"/>
    <s v="Operation"/>
    <s v="Used Car Manager"/>
    <d v="2024-07-30T00:00:00"/>
    <m/>
    <s v="Closed"/>
    <s v="-"/>
    <s v="Closed"/>
    <s v="The major consideration of the Used Cars Dept for selling vehicles is the prices that bring profitability to BTC, with the Used Cars dept’s keenness for the auction list to reach the largest number of customers and to try to obtain the best price from them to selling the vehicles._x000a_Further, UCS department will explore and collaborate with used car selling websites to place auction advertisements and increase the customer base."/>
  </r>
  <r>
    <n v="220"/>
    <s v="BTC"/>
    <n v="2023"/>
    <s v="Used Cars"/>
    <s v="Lead to Collection"/>
    <s v="Inadequate control over sales processes"/>
    <s v="• There is no defined mechanism and process of batch formation of_x000a_vehicles for sales bidding._x000a_• It was also observed that 253 vehicles sold in 27 bids are less than the_x000a_minimum bidding size of 20 units as stated in the policy"/>
    <s v="The Department should establish policies and procedures for batch_x000a_formation of vehicles ready for sale bidding._x000a_• Management to ensure adherence to the approved procedures of batch_x000a_size must not be less than 20 units."/>
    <s v="High"/>
    <s v="Operation"/>
    <s v="Used Car Manager"/>
    <d v="2024-07-30T00:00:00"/>
    <m/>
    <s v="Closed"/>
    <s v="-"/>
    <s v="Closed"/>
    <s v="Certain types of vehicles require us to offer them for sale at bid in quantities of less than 20 vehicles because_x000a_they are commercial vehicles and other vehicles with a high selling value and depending on the availability of_x000a_these types in stock and to encourage customers to Participation in the auction for this type of vehicles. For all_x000a_other vehicles except commercial &amp; high value vehicles, we will follow the bidding size criteria."/>
  </r>
  <r>
    <n v="221"/>
    <s v="BTC"/>
    <n v="2023"/>
    <s v="Used Cars"/>
    <s v="Lead to Collection"/>
    <s v="Vehicle sold but ownership not transferred"/>
    <s v="As per approved process of Used car sales, transfer of ownership must be performed within 1 month from the date of Sales Contract._x000a_1._x000a_Internal audit has performed review of invoiced vehicles, but ownership not transferred until 31st August 2023 and observed that invoiced vehicles are pending for Ownership transfers._x000a_Year-wise Used car sales details for Pending Ownership transfers are as under: Year of Invoicing Pending Ownership transfers vehicles_x000a_2014_x000a_24_x000a_2015_x000a_69_x000a_2016_x000a_33_x000a_2017_x000a_22_x000a_2018_x000a_13_x000a_2019_x000a_30_x000a_2020_x000a_8_x000a_2021_x000a_36_x000a_2022_x000a_98_x000a_2023_x000a_628 Total 961_x000a_As stated in the approved sales contract, SAR 50 per day will be charged to the customer if the vehicle is not transferred within 30 days of the invoice. We noted that the company does not charge such amount on sold cars if the ownership is not transferred within the specified timeline."/>
    <s v="Periodic review of all invoiced vehicles with pending ownerships to be performed and shared with management._x000a_•_x000a_Develop a mechanism to ensure that no delays to be occur as per contract in transferring ownership of vehicles to customers after invoicing._x000a_•_x000a_Automate reminders and notifications to ensure timely transfers and follow-up."/>
    <s v="High"/>
    <s v="Operation"/>
    <s v="Used Car Manager"/>
    <d v="2024-07-30T00:00:00"/>
    <d v="2024-12-31T00:00:00"/>
    <s v="Open Due"/>
    <n v="700"/>
    <s v="Less than 2 Years"/>
    <s v="1_x000a_- Data already shared with management._x000a_2_x000a_- A mechanism has been put in place to ensure the transferring ownership within the period specified in the contract, which is the customer’s payment of (1000 S.R) for each vehicle. The amount of expenses of the vehicle is deducted from the paid amount (insurance expenses calculating by finance DEPT.) if the period limit specified for transferring ownership is exceeded, along with follow-up with customer to force them to transfer ownership._x000a_3_x000a_- Automate reminders and notification has been requested in new system."/>
  </r>
  <r>
    <n v="222"/>
    <s v="BTC"/>
    <n v="2023"/>
    <s v="Used Cars"/>
    <s v="Lead to Collection"/>
    <s v="Delay in used cars sales"/>
    <s v="On review of sold vehicles during the year 2022-2023, it was noted that vehicles remained unsold for three to six months and above. 293 out of 3109 were sold under these ageing categories during the audited period._x000a_Ageing summary of sold vehicles are as under:_x000a_Year Above 3M Above 6M Above 9M Total 2022 24 7 2 33 2023 239 21 0 260 Total 263 28 2 293"/>
    <s v="•_x000a_It is recommended to conduct a thorough analysis of the factors contributing to the delayed sales._x000a_•_x000a_Implement measures to expedite the sales performance."/>
    <s v="Medium"/>
    <s v="Operation"/>
    <s v="Used Car Manager"/>
    <d v="2024-07-30T00:00:00"/>
    <m/>
    <s v="Closed"/>
    <s v="-"/>
    <s v="Closed"/>
    <s v="The used cars department works to sell vehicles in the shortest possible time after receiving vehicles, but it does not sell vehicles until ensuring that the prices are appropriate for their selling prices in the market, even if this leads to waiting for the appropriate time to sell the vehicles, and some vehicles have ageing because of T/L condition a group of them is collected and sold all at once, while others are of a newer model, so the management priority is to try to search lease customers and lease them again._x000a_We will follow the process to sell the cars in the specified period and enhance the monitoring of aged cars."/>
  </r>
  <r>
    <n v="223"/>
    <s v="BTC"/>
    <n v="2023"/>
    <s v="Used Cars"/>
    <s v="Lead to Collection"/>
    <s v="Aged vehicles stock lying in warehouse"/>
    <s v="Internal audit has reviewed the used vehicle stocks currently available at Warehouses dated 03rd October 2023_x000a_It was observed that there are 385 vehicles available for sale in used car inventory. 110 vehicles with higher ageing ranging from 90 to 400 days being identified &amp; available in warehouse locations. It was also noted that 1 total loss vehicle is lying more than 5 years._x000a_Ageing analysis details are as under: Ageing Days &lt; 30 Days 31-60 Days 61-90 Days 91-180 Days Up to 1 Year Up to 2 Years Above 5 Years_x000a_No. of Vehicles_x000a_189_x000a_68_x000a_17_x000a_61_x000a_48_x000a_1_x000a_1"/>
    <s v="•_x000a_Stock monitoring reports should be maintained &amp; shared with management monthly basis to identifying the vintage stocks._x000a_•_x000a_Used Car department should ensure prioritizing the old stock for early sales (on FIFO basis)"/>
    <s v="Medium"/>
    <s v="Operation"/>
    <s v="Used Car Manager"/>
    <d v="2024-07-30T00:00:00"/>
    <m/>
    <s v="Closed"/>
    <s v="-"/>
    <s v="Closed"/>
    <s v="We consolidate damaged vehicles to sale as it is in bulk to get good prices &amp; one vehicle ageing above 5 years is not under BTC ownership due that it's lying in the sale yard for this period._x000a_However, we will continue to enhance the process of identifying the aged stock and try to mix/include with latest models to bid and sale as early as possible."/>
  </r>
  <r>
    <n v="224"/>
    <s v="BTC"/>
    <n v="2023"/>
    <s v="Finance"/>
    <s v="Lead to Collection"/>
    <s v="Gaps identified in Credit Policy and Procedures"/>
    <s v="Based on review of approved Credit policy and procedure, the following points were noted:_x000a_1._x000a_Credit and collection policy has following gaps:_x000a_•_x000a_No customer blacklisting procedures_x000a_•_x000a_No procedures for credit limit review at renewal of contract_x000a_•_x000a_No issuance and implementation date_x000a_•_x000a_Version number not mentioned._x000a_•_x000a_No expiry date and revision mechanism._x000a_2._x000a_Following specified forms are not attached with credit policy as referred on multiple places in credit policy:_x000a_•_x000a_Credit application form._x000a_•_x000a_Credit evaluation form"/>
    <s v="Management should ensure the comprehensiveness of the credit policy and add all the identified gaps in the policy upon renewal."/>
    <s v="High"/>
    <s v="Org. structur, JD &amp; KPI's"/>
    <s v="Credit &amp; Collection Manager"/>
    <d v="2024-12-31T00:00:00"/>
    <m/>
    <s v="Closed"/>
    <s v="-"/>
    <s v="Closed"/>
    <s v="_x000a_Management will consider these into account and discuss them with EXCOM to be included - in the upcoming policy update._x000a_It’s already mentioned in the policy index and will include formats of these designated forms in the next update."/>
  </r>
  <r>
    <n v="225"/>
    <s v="BTC"/>
    <n v="2023"/>
    <s v="Finance"/>
    <s v="Lead to Collection"/>
    <s v="Nonadherence of Credit Policy and Procedures"/>
    <s v="During the Audit review it was noted that the approved Credit policy and procedures are not being adhered._x000a_As per chapter 11 of credit policy, certain documents are required from Lease credit customers for evaluation and approval of credit. We reviewed 10 sample files of credit customers and noted the following discrepancies:_x000a_1)_x000a_In 10/10 customer’s files, 3-month advance payment and 8-month promissory notes were not obtained and attached._x000a_2)_x000a_In 10/10 customer’s files, 8-month promissory notes were not obtained and attached._x000a_3)_x000a_In 05/10 customer’s files, 3 years audited financial statements are not obtained and reviewed._x000a_4)_x000a_In 8/10 customers Bayan credit bureau clearance document were not attached in files._x000a_5)_x000a_In 2/10 files, VAT certificates were not obtained._x000a_6)_x000a_In 3/10 files, Credit applications were available but not signed by customers._x000a_7)_x000a_In 5/10 customer’s files, Credit applications singed by client is not available in files._x000a_8)_x000a_In 5/10 customer’s files, Company founding Contract were not obtained and attached._x000a_For details of above instances, please see Appendix 1 &amp; 2_x000a_Further, we noted that credit customer required documents checklist is not in line with current business requirements and comprehensive as below documents are not included:_x000a_1)_x000a_Business owner ID,_x000a_2)_x000a_Bank Statement_x000a_3)_x000a_Business national address_x000a_4)_x000a_Client visit report_x000a_5)_x000a_Bayan Credit bureau_x000a_6)_x000a_Bank Guarantee"/>
    <s v="•_x000a_Credit policy and procedures must be followed to have controls in place and avoid any financial implications._x000a_•_x000a_The credit checklist should be updated in line with business practice and requirements and comprehensive._x000a_•_x000a_All the required documents should be obtained, reviewed and attached in credit files of lease customers for any future reference."/>
    <s v="High"/>
    <s v="Operation"/>
    <s v="Credit &amp; Collection Manager"/>
    <d v="2024-12-31T00:00:00"/>
    <m/>
    <s v="Closed"/>
    <s v="-"/>
    <s v="Closed"/>
    <s v="▪The advance payment and the promissory note are requested as a result of the credit study and are exempt based on the credit authority matrix. Example for exceptions companies, the government and semi-government companies, joint stock companies and the big company has a good reputation._x000a_▪For Bayan and Simah, it is dependent upon the availability data provided in their report._x000a_▪We will consider improving the necessary documents and providing further clarification in the revised policy for the companies that are exempt from submitting certain documents, such as the VAT and Foundation Contract in the next update."/>
  </r>
  <r>
    <n v="226"/>
    <s v="BTC"/>
    <n v="2023"/>
    <s v="Finance (Accounts Receivables)"/>
    <s v="Lead to Collection"/>
    <s v="Long aged Account Receivable connected to high debtor days."/>
    <s v="During IA review, of Receivable ageing the below long aged receivables_x000a_were noted that requires immediate management attention for review_x000a_and sufficient provisioning:_x000a_1. As of 31 December 2022, accounts receivable balance one year and_x000a_above is 50.6M SAR, which is 66% of the total receivables balance of_x000a_SAR. 76.4M._x000a_2. The company has a high receivable to sales ratio of 29% in 2019 and_x000a_37% in June 2023. Also, for the same period the company has high_x000a_debtor days ranging from 108-176 days."/>
    <s v="Based on the above findings Receivable balance for one year and_x000a_above should be reassessed by finance department with assistance_x000a_of higher management and legal department and should be_x000a_considered for provisioning and write off._x000a_• Management should implement approved collection policy more_x000a_actively and strictly and define mechanism to reduce collection_x000a_period of invoices to a minimum level"/>
    <s v="High"/>
    <s v="Operation"/>
    <s v="Credit &amp; Collection Manager"/>
    <d v="2024-12-31T00:00:00"/>
    <m/>
    <s v="Closed"/>
    <s v="-"/>
    <s v="Closed"/>
    <s v="1._x000a_The legal department is handling a court case for SAR 50 million (as appearing in the ageing report), and it will take time to settle this amount. We follow up with the legal department every month to ensure that the court cases are collected._x000a_2._x000a_The decline in sales by 10 million and the increase in the average amount due on the SCECO new project bills by 11 million in December 23 are the causes for the 32% increase in the percentage. The lease invoices for 2023 have been fully collected._x000a_3._x000a_We will collect delayed customers in accordance with the credit policy to minimize the average amount outstanding by (sending warning letters, stopping services, repossessing the vehicles, and transferring the defaulting customers to legal)."/>
  </r>
  <r>
    <n v="227"/>
    <s v="BTC"/>
    <n v="2024"/>
    <s v="Finance"/>
    <s v="Record to Report"/>
    <s v="Absence of vehicles wise, client wise and project wise profit and loss report"/>
    <s v="During our review, we found that certain key P&amp;L reports are manually generated rather than extracted directly from the system._x000a_Specifically, profitability segmented by vehicle, client, project and region requires manual compilation due to an inability to produce these reports electronically._x000a_The manual process introduces inefficiencies and risks compared to automated retrieval from ERP data. Configuration enhancements could help generate these important analytics automatically."/>
    <s v="Management should consider customizing the ERP system or integrating additional reporting tools. Develop a roadmap for enhancing reporting capabilities and provide training to staff for better financial analysis"/>
    <s v="High"/>
    <s v="System &amp; Application"/>
    <s v="CFO"/>
    <d v="2024-12-31T00:00:00"/>
    <d v="2024-12-31T00:00:00"/>
    <s v="Open Due"/>
    <n v="546"/>
    <s v="Less than 2 Years"/>
    <s v="The finance department will engage in discussions with the vendor to develop and generate accurate reports automatically, eliminating the need for any manual intervention"/>
  </r>
  <r>
    <n v="228"/>
    <s v="BTC"/>
    <n v="2024"/>
    <s v="Finance"/>
    <s v="Record to Report"/>
    <s v="Financial Statements Currently Assembled Manually Rather than Produced by ERP System"/>
    <s v="During our review of the organization's financial reporting process, we observed that the ERP system is not currently configured to directly generate audited financial statements as of December 31, 2023._x000a_Specifically, while the ERP can produce trial balance reports, the final financial statements are still prepared manually outside of the system rather than being automatically extracted from the underlying financial data._x000a_Relying on a manual process to compile financial statements from the trial balance introduces risks of errors or inconsistencies compared to an automated workflow directly within the ERP"/>
    <s v="Explore options to enhance the ERP system's capability to directly generate accurate financial statements that align with the audit requirements._x000a_ Implement automated processes or tools within the ERP system to streamline the preparation of financial statements and reduce reliance on manual interventions._x000a_ Provide training to finance personnel on the proper use of the ERP system for financial reporting to improve accuracy and efficiency in the reporting process."/>
    <s v="High"/>
    <s v="System &amp; Application"/>
    <s v="CFO"/>
    <d v="2024-12-31T00:00:00"/>
    <d v="2024-12-31T00:00:00"/>
    <s v="Open Due"/>
    <n v="546"/>
    <s v="Less than 2 Years"/>
    <s v="The finance department will engage in discussions with the vendor to develop and generate accurate reports automatically, eliminating the need for any manual intervention"/>
  </r>
  <r>
    <n v="229"/>
    <s v="BTC"/>
    <n v="2024"/>
    <s v="Finance"/>
    <s v="Record to Report"/>
    <s v="Absence of digital archiving system"/>
    <s v=" Implement a digital archiving system to complement physical archiving processes and ensure data redundancy._x000a_ Develop and implement policies and procedures for the proper storage and retrieval of finance data using the digital archiving infrastructure._x000a_ Conduct regular testing and validation of the digital archiving system to ensure its reliability and effectiveness in serving as a backup for physical archiving."/>
    <s v="Data loss or corruption due to reliance solely on physical archiving._x000a_ Increased risk of information being compromised or inaccessible in case of physical archiving failure._x000a_ Inefficiency and lack of scalability in managing finance data retention without a digital archiving infrastructure."/>
    <s v="Medium"/>
    <s v="System &amp; Application"/>
    <s v="CFO"/>
    <d v="2024-12-31T00:00:00"/>
    <d v="2024-12-31T00:00:00"/>
    <s v="Open Due"/>
    <n v="546"/>
    <s v="Less than 2 Years"/>
    <s v="Implement a digital archiving system to complement physical archiving processes and ensure data redundancy._x000a_ Develop and implement policies and procedures for the proper storage and retrieval of finance data using the digital archiving infrastructure._x000a_ Conduct regular testing and validation of the digital archiving system to ensure its reliability and effectiveness in serving as a backup for physical archiving."/>
  </r>
  <r>
    <n v="230"/>
    <s v="BTC"/>
    <n v="2024"/>
    <s v="Finance"/>
    <s v="Record to Report"/>
    <s v="Incorrect classification of legal expenses"/>
    <s v="During audit we noted that legal expenses paid to legal advisor amounting to SAR. 138,000 approximately on monthly basis are classified as Consultancy charges instead of legal expenses (Legal fees relate specifically to services that require a law degree and bar certification)._x000a_Outsourced legal office is providing direct legal representation and advice for the company's cases, these would typically be considered legal fees, while consultancy fees generally pertain to advisory services on non-legal matters._x000a_Examples include attorneys drafting legal documents, appearing in court, providing counsel on litigation strategy, compliance issues, contracts etc."/>
    <s v="Management should reclassify these expenses from consultancy charges to legal expense and ensure accurate classification of expenses as it is very important for data analytics and decision making."/>
    <s v="Medium"/>
    <s v="Operation"/>
    <s v="CFO"/>
    <d v="2024-12-31T00:00:00"/>
    <m/>
    <s v="Closed"/>
    <s v="-"/>
    <s v="Closed"/>
    <s v="Finance Department will change the account description."/>
  </r>
  <r>
    <n v="231"/>
    <s v="BTC"/>
    <n v="2024"/>
    <s v="Corporate Governance"/>
    <s v="Corporate Governance"/>
    <s v="Absence Of Strategic Planning and Related Mechanism"/>
    <s v="During our review of the strategic planning process, we noted the following:_x000a_•_x0009_IA noted that approved vision, mission and goal statement is not available._x000a_However, a vision and mission statement are displayed in the corporate office whereas internal audit is unable to verify its approval from BOD._x000a_•_x0009_Absence of long-term business strategy and plan e.g. (3 or 5 years’ business plan) approved from board of directors._x000a_•_x0009_Absence of any guidelines or/and policy for the strategic planning process. _x000a_•_x0009_Absence of formalized mechanism or process to monitor the strategy and plan on a quarterly basis or predetermined timeframe."/>
    <s v="•_x0009_Management should develop a comprehensive vision, mission and goal statement and it will be approved by the board accordingly._x000a_•_x0009_Management should develop a policy and framework to regulate the strategic planning process to include but not limited to (the process of capturing and reporting market and competitor data, source information/input parameters used in developing the strategic plan, scenario analysis, and strategy monitoring mechanism)._x000a_•_x0009_Long term (3 or 5 years) business Strategy and plan should be prepared, reviewed, and approved by board of directors._x000a_•_x0009_A Strategy Progress Report should be developed to continuously monitor/oversee the progress against the business plan, strategic objectives/targets and encourage corrective actions and should be reviewed based on defined time periods (e.g., Quarterly) for accuracy and completeness."/>
    <s v="High"/>
    <s v="Policies &amp; Procedures"/>
    <s v="CEO"/>
    <d v="2025-03-31T00:00:00"/>
    <m/>
    <s v="Closed"/>
    <s v="-"/>
    <s v="Closed"/>
    <s v="A consultant has been hired for the development of vision, mission, strategic objective and for business strategy of the company, accordingly management will develop business plan for the company."/>
  </r>
  <r>
    <n v="232"/>
    <s v="BTC"/>
    <n v="2024"/>
    <s v="Corporate Governance"/>
    <s v="Corporate Governance"/>
    <s v="Absence of Continuity and Disaster Recovery Plan"/>
    <s v="The audit of the organization's operational framework revealed a gap, as it does not currently have a robust Continuity and Disaster Recovery Plan (CDRP) in place. The lack of a comprehensive CDRP poses significant risks to the organization's ability to maintain business operations continuity during unforeseen incidents such as natural disasters, cyber security breaches, or technical system failures. Without a proper CDRP, the organization would be ill-prepared to effectively respond to and recover from disruptive events, which could threaten its long-term sustainability and resilience."/>
    <s v="•_x0009_Develop CDRP designating roles, processes and alternate sites._x000a_•_x0009_Conduct a business impact analysis to prioritize essential functions._x000a_•_x0009_Create emergency response procedures for different disaster scenarios._x000a_•_x0009_Establish backup/restore protocols for critical systems and data._x000a_•_x0009_Ensure disaster recovery sites are pre-provisioned as needed._x000a_•_x0009_Train staff and test plans through periodic exercises._x000a_•_x0009_Secure executive sponsorship and dedicated budget._x000a_•_x0009_Comply with regulations by meeting Recovery Time Objectives._x000a_•_x0009_Communicate CDRP details and safety procedures organization-wise._x000a_•_x0009_Review and update the CDRP regularly based on changes and tests."/>
    <s v="High"/>
    <s v="Policies &amp; Procedures"/>
    <s v="CEO"/>
    <d v="2025-03-31T00:00:00"/>
    <d v="2025-03-31T00:00:00"/>
    <s v="Open Due"/>
    <n v="456"/>
    <s v="Less than 2 Years"/>
    <s v="A comprehensive disaster recovery and continuity plan will be developed and applied accordingly."/>
  </r>
  <r>
    <n v="233"/>
    <s v="BTC"/>
    <n v="2024"/>
    <s v="Corporate Governance"/>
    <s v="Corporate Governance"/>
    <s v="Inconsistencies /Gaps in Delegation of Authority Matrix"/>
    <s v="During review of the company’s authority matrix and delegation of authorities’ framework, we noted the following:_x000a_1._x0009_The Authority Matrix is not illustrating the following._x000a_•_x0009_Review and approval of vision, mission, and objectives of company._x000a_•_x0009_Authority level for review and approval of the related party transactions and conflicts of interest._x000a_•_x0009_Approval Bank facility/ loan agreements_x000a_•_x0009_Appointment and approval of CEO, CFO, COO, and key managers._x000a_•_x0009_Budget variance i.e., 10%-20%_x000a_•_x0009_Authority for change, updates, review, and approve the Authority Matrix._x000a_•_x0009_Appointment of external consultants (&lt; SR 35000) per year. (typing error)_x000a_•_x0009_OPEX &amp; non-vehicle CAPEX above SAR 200K_x000a_•_x0009_Maintenance or repair (For approved vendors) &gt; SR 25K_x000a_•_x0009_No monthly Used Vehicle Sale Pricing Matrix exist (#11.3 to 11.5)_x000a__x000a_2._x0009_The current authority matrix is not in line with the approved organizational structure. The following positions are not available in approved organizational structure of the company whereas authority matrix has this position and related authority:  _x000a_•_x0009_MD position (section 11.4)._x000a_•_x0009_Used car director (section 11.3-5)."/>
    <s v="•_x0009_The Authority matrix should be updated to cover all the above identified gaps, and company authority’s levels &amp; authority limits should be updated periodically. _x000a_•_x0009_Procedures should be in place to established controls over Authority Matrix to determine who should have access to make modifications (additions, deletions, and other changes) to the Authority Matrix, and shall review the Authority Matrix to ensure the proper alignment between the document and regulatory requirements"/>
    <s v="High"/>
    <s v="Authority Matrix"/>
    <s v="CEO"/>
    <d v="2025-03-31T00:00:00"/>
    <d v="2025-03-31T00:00:00"/>
    <s v="Open Due"/>
    <n v="456"/>
    <s v="Less than 2 Years"/>
    <s v="•_x0009_Delegation of authority matrix will be updated and applied accordingly"/>
  </r>
  <r>
    <n v="234"/>
    <s v="BTC"/>
    <n v="2024"/>
    <s v="Corporate Governance"/>
    <s v="Corporate Governance"/>
    <s v="Outdated Organizational Structure"/>
    <s v="During review of company structure and organizational chart approved in February 2019, we noted the following:_x000a_1._x0009_Key management position of COO is vacant, and no acting COO has been appointed._x000a_2._x0009_Insurance function is reporting to CFO as per organizational structure but currently it is reporting to operations._x000a_3._x0009_There is a marketing function as per organizational structure but in actual there is no marketing function established in BTC yet._x000a_4._x0009_Currently the position of compliance officer is vacant. _x000a_5._x0009_Sales and procurement functions are under the same manager that is conflicting role and should be under separate leaders."/>
    <s v="Management should update the organizational structure to align it with the current business needs and reporting lines"/>
    <s v="High"/>
    <s v="Org. structur, JD &amp; KPI's"/>
    <s v="CEO"/>
    <d v="2025-03-31T00:00:00"/>
    <d v="2025-03-31T00:00:00"/>
    <s v="Open Due"/>
    <n v="456"/>
    <s v="Less than 2 Years"/>
    <s v="•_x0009_Organizational structure will be updated reflecting the above changes"/>
  </r>
  <r>
    <n v="235"/>
    <s v="BTC"/>
    <n v="2024"/>
    <s v="Corporate Governance"/>
    <s v="Corporate Governance"/>
    <s v="Absence of SWOT analysis"/>
    <s v="The absence of a documented SWOT analysis in strategic planning poses risks. By not systematically analyzing strengths, weaknesses and external opportunities and threats, the ability to understand influential internal and external factors is compromised. This undermines effective strategy development by omitting a key diagnostic that informs strategic decisions. Without appraising the strategic landscape using SWOT methodology, decisions may be inadequately informed"/>
    <s v="•_x0009_Develop and implement a standardized SWOT process_x000a_•_x0009_Conduct initial comprehensive SWOT and regular updates_x000a_•_x0009_Assign accountability for monitoring internal/external factors_x000a_•_x0009_Report updated SWOT findings for strategic review_x000a_•_x0009_Link SWOT to capital allocation, risk management, contingency_x000a_•_x0009_Establish SWOT impact KPIs_x000a_•_x0009_Provide training on effective SWOT application_x000a_•_x0009_Test, document, and refine the SWOT process_x000a_•_x0009_Monitor and adjust the mitigation plan"/>
    <s v="Medium"/>
    <s v="Operation"/>
    <s v="CEO"/>
    <d v="2025-03-31T00:00:00"/>
    <d v="2025-03-31T00:00:00"/>
    <s v="Closed"/>
    <s v="-"/>
    <s v="Closed"/>
    <s v="•_x0009_SWOT analysis is performed as a part of strategy development as it provides a comprehensive view of the internal and external factors affecting the business and resource allocation.  An external consultant has been hired for this purpose."/>
  </r>
  <r>
    <n v="236"/>
    <s v="BTC"/>
    <n v="2024"/>
    <s v="Corporate Governance"/>
    <s v="Corporate Governance"/>
    <s v="Absence of Corporate Social Responsibility Framework (CSR)"/>
    <s v="Currently, the company conducts and contributes in social development informally. However, during our review, we noted the following:_x000a_•_x0009_Absence of designated framework and policy to govern the CSR activities._x000a_•_x0009_Absence of appropriate awareness and education programs to ensure that all employees aware of the objectives of CSR which also in turn contributes to improving the Company’s performance._x000a_•_x0009_Absence of documented CSR strategy and activities plan highlighting the planned programs, budget, and social initiatives_x000a_•_x0009_Absence of CSR representative appointed by the Board and is the designated functionary for planning, implementation, and reporting on CSR activities._x000a_•_x0009_Absence of defined objectives and KPIs for CSR activities."/>
    <s v="•_x0009_Develop the CSR Policy, strategy, and activities to include-but not limited to- the following:_x000a_1)_x0009_1. Activities planned with each organization._x000a_2)_x0009_2. Cost/ resources budgeted for each activity._x000a_•_x0009_BTC should disclose the objectives of the Company's social responsibility to its employees and raising their awareness and knowledge of social responsibility through regular training and awareness sessions. _x000a_•_x0009_Expected dates of carrying out the planned activities and ensure that the prepared plan is approved in line with the CSR Policy"/>
    <s v="Medium"/>
    <s v="Policies &amp; Procedures"/>
    <s v="CEO"/>
    <d v="2025-03-31T00:00:00"/>
    <d v="2025-03-31T00:00:00"/>
    <s v="Open Due"/>
    <n v="456"/>
    <s v="Less than 2 Years"/>
    <s v="Corporate social responsibility draft policy has already prepared and submitted for board approval"/>
  </r>
  <r>
    <n v="237"/>
    <s v="BTC"/>
    <n v="2024"/>
    <s v="Operations"/>
    <s v="Lease Operations"/>
    <s v="Absence of the Delegation of Authority for operation activities and department"/>
    <s v="The audit review revealed that there is no formalized Delegation of Authority (DoA) framework in place to define the roles, responsibilities, and decision-making limits for operational activities across department like:_x000a_•_x0009_approval of replacement vehicles_x000a_•_x0009_vehicle upgrades_x000a_•_x0009_early retirement_x000a_•_x0009_penalties waivers etc. _x000a_This absence of a structured DoA framework creates ambiguity in accountability, hampers efficient decision-making, and increases the risk of operational inefficiencies and unauthorized actions"/>
    <s v="•_x0009_Clearly define roles, responsibilities, and decision-making limits for each operational activity and department_x000a_•_x0009_Establish thresholds for financial and non-financial approvals at different levels_x000a_•_x0009_Disseminate the DoA framework across the organization and provide training to employees on their roles and responsibilities"/>
    <s v="High"/>
    <s v="Authority Matrix"/>
    <s v="Operations Manager"/>
    <d v="2025-06-30T00:00:00"/>
    <d v="2025-12-31T00:00:00"/>
    <s v="Open Due"/>
    <n v="365"/>
    <s v="Less than 1 Year"/>
    <s v="Management will review and develop a comprehensive DoA for all operational activities related to financial and non-financial approvals addressing highlighted areas and will be formally approved &amp; implement accordingly."/>
  </r>
  <r>
    <n v="238"/>
    <s v="BTC"/>
    <n v="2024"/>
    <s v="Operations"/>
    <s v="Lease Operations"/>
    <s v="Vehicle Rentals Conducted Without Formal System Agreements"/>
    <s v="The audit review identified instances where vehicles were rented out without a formal system agreement being created. Instead, vehicles have been delivered on manual agreement &amp; delivery checklist. This bypass established practice, policy and applicable procedures and increases the risk of financial discrepancies, contractual disputes, and operational inefficiencies"/>
    <s v="•_x0009_All vehicle rentals must be supported by a formal agreement generated and recorded within the designated system._x000a_•_x0009_Implement checkpoints within the rental approval process to ensure the existence of a corresponding system-generated agreement before proceeding._x000a_•_x0009_Integrate system controls to prevent the finalization of any rental transaction unless a valid agreement is recorded._x000a_•_x0009_Implement alerts or notifications to flag instances of incomplete or missing agreement records within the system"/>
    <s v="High"/>
    <s v="Operation"/>
    <s v="Operations Manager"/>
    <d v="2025-06-30T00:00:00"/>
    <m/>
    <s v="Closed"/>
    <s v="-"/>
    <s v="Closed"/>
    <s v="All these highlighted cases are now with system agreement. Going forward management will ensure that all issuance of rental vehicles must be supported by a system rental agreement with Fleet Express &amp; CarPro. "/>
  </r>
  <r>
    <n v="239"/>
    <s v="BTC"/>
    <n v="2024"/>
    <s v="Operations"/>
    <s v="Lease Operations"/>
    <s v="Non-Compliance with Lease Agreement Terms Regarding Early Termination"/>
    <s v="The audit review revealed instances where the premature lease termination penalty clause, as stipulated in lease agreements, were not charged._x000a_This non-adherence resulted in potential financial loss to the organization and non-compliance with contractual obligations."/>
    <s v="•_x0009_Ensure strict compliance with the penalty provisions outlined in lease agreements._x000a_•_x0009_In case any waiver of early termination plenty amount approval should be obtained as per approved DOA._x000a_•_x0009_Communicate and reinforce the importance of adhering to contractual terms to all stakeholders._x000a_•_x0009_Establish a centralized system for monitoring lease agreements, including termination notices and penalty applications._x000a_•_x0009_Create a checklist to ensure compliance with all key clauses before lease termination."/>
    <s v="High"/>
    <s v="Operation"/>
    <s v="Operations Manager"/>
    <d v="2025-06-30T00:00:00"/>
    <m/>
    <s v="Closed"/>
    <s v="-"/>
    <s v="Closed"/>
    <s v="Management will ensure that by going forward no penalty waives to early contract terminations except formally approved as per approved DoA. Operation will arrange with the Collection Department to put up a mechanism to implement the early termination penalty as per lease contract. "/>
  </r>
  <r>
    <n v="240"/>
    <s v="BTC"/>
    <n v="2024"/>
    <s v="Operations"/>
    <s v="Lease Operations"/>
    <s v="Inadequate Management of Replacement Vehicle Process"/>
    <s v="There are 109 vehicles as on 11th November 2024 under replacement issued to lease customers against permanent vehicles due to various reasons like repair &amp; maintenance, accidents, stolen, police cases, total loss etc._x000a_21 &amp; 38 vehicles are under replacement with customers for more than 30 days and 60 days respectively. High aging and number of replacement vehicles showing inadequate and ineffective monitoring of replacement function."/>
    <s v="•_x0009_Develop a clear and comprehensive vehicle replacement policy, outlining detailed procedures and turnaround time targets for each replacement scenario (e.g., repair, maintenance, accidents, theft, total loss)._x000a_•_x0009_Establish key performance indicators (KPIs) and service level agreements (SLAs) to monitor the efficiency of the replacement process._x000a_•_x0009_Implement a structured review and approval workflow to ensure timely decision-making and replacement processing._x000a_•_x0009_implement a centralized system to track and monitor the status of all replacement vehicles, including aging and turnaround times._x000a_•_x0009_Set up automated alerts and notifications to flag any cases exceeding the established turnaround time targets._x000a_•_x0009_Conduct periodic audits and process reviews to ensure the effectiveness of the vehicle replacement procedures and controls."/>
    <s v="High"/>
    <s v="Operation"/>
    <s v="Operations Manager"/>
    <d v="2025-06-30T00:00:00"/>
    <m/>
    <s v="Closed"/>
    <s v="-"/>
    <s v="Closed"/>
    <s v="Management will establish a comprehensive process along with turnaround time for replacements and ensure periodic monitoring and necessary corrective actions to control delay/aged replacements with customers. In case operation does not issue a replacement, it must be compensated with a credit note to the customer as per contractual terms and the replacement vehicles are running with customers for a long time due to maintenance &amp; insurance repairs delay."/>
  </r>
  <r>
    <n v="241"/>
    <s v="BTC"/>
    <n v="2024"/>
    <s v="Operations"/>
    <s v="Lease Operations"/>
    <s v="Overdue lease agreements"/>
    <s v="The audit review identified a significant number of overdue lease agreements that have remained open in the system even after their contracted termination dates. Specifically, it was observed that there are 156 overdue lease agreements that expired on or before December 31, 2024, but are still marked as &quot;OPEN&quot; in the system. Of these, 27 agreements have been open since as early as 2003 to 2018.  This lapse in timely closure of expired lease agreements can be attributed to two possible scenarios:_x000a_•_x0009_Some expired agreements may correspond to vehicles that have not been returned by customers, potentially leading to missed revenue opportunities and inaccurate inventory records._x000a_•_x0009_Other expired agreements may represent vehicles that have been returned, but the system records have not been updated accordingly, resulting in potential discrepancies in accounting and operational data"/>
    <s v="•_x0009_Management should develop a periodic monitoring mechanism to identify &amp; evaluate the long open agreements for expired periods._x000a_•_x0009_Management should analyze and take the necessary action of extending, renewing, or closing these agreements in the system on an immediate basis."/>
    <s v="High"/>
    <s v="Operation"/>
    <s v="Operations Manager"/>
    <d v="2025-06-30T00:00:00"/>
    <m/>
    <s v="Closed"/>
    <s v="-"/>
    <s v="Closed"/>
    <s v="Management will review and perform comprehensive exercises to correct agreement status based on actual position and will close the required agreements. Most of the highlighted agreements are now extended in system and many are done with the customers’ approval. Going forward management will arrange with the collection, legal, fleet &amp; accounts department to verify the old cases and do the needful to close those agreements."/>
  </r>
  <r>
    <n v="242"/>
    <s v="BTC"/>
    <n v="2024"/>
    <s v="Operations"/>
    <s v="Lease Operations"/>
    <s v="Lack of Structured Customer Feedback Management in Lease Operations"/>
    <s v="The audit review identified a significant gap in the organization's ability to effectively capture, analyze, and respond to customer feedback regarding the operational services provided during the lease term. The lease operations department, which is the primary point of contact for customers, currently lacks a structured mechanism to collect, record, and act upon customer feedback._x000a__x000a_This deficiency in the organization's customer feedback management process limits its understanding of customer needs, concerns, and the overall satisfaction with the services provided. Without a robust feedback collection and analysis system, the company is hindered in its ability to identify areas for improvement, address customer pain points, and enhance the overall quality of its lease operations services._x000a__x000a_The absence of a structured customer feedback mechanism can negatively impact on customer satisfaction and loyalty, potentially leading to reputational risks and reduced customer retention rates."/>
    <s v="•_x0009_Establish clear processes and channels for customers to provide feedback, including both formal and informal mechanisms_x000a_•_x0009_Develop a robust feedback analysis and reporting framework to identify trends, prioritize areas for improvement, and track the resolution of customer issues_x000a_•_x0009_Empower the lease operations team to promptly address customer feedback and close the feedback loop with customers_x000a_•_x0009_Integrate customer feedback insights into the organization's continuous improvement initiatives and decision-making processes"/>
    <s v="Medium"/>
    <s v="Operation"/>
    <s v="Operations Manager"/>
    <d v="2025-09-30T00:00:00"/>
    <m/>
    <s v="Closed"/>
    <s v="-"/>
    <s v="Closed"/>
    <s v="As recommended, management will develop a mechanism to record and share customer feedback and complaints, root cause analysis and periodic monitoring of complaints with concerned departments."/>
  </r>
  <r>
    <n v="243"/>
    <s v="BTC"/>
    <n v="2024"/>
    <s v="Operations"/>
    <s v="Lease Operations"/>
    <s v="Absence of MVPI Renewal Alerts and Notifications."/>
    <s v="The audit review has identified a significant gap in the organization's processes for managing the renewal of Motor Vehicle Periodic Inspections (MVPI) for the leased fleet. It was observed that there are no automated system-generated notifications or email alerts in place to proactively inform the relevant staff and customers about the upcoming expiry of MVPI._x000a__x000a_Furthermore, the audit also found that there is no effective manual mechanism, such as email communications or other channels, established to manage this critical activity. This lack of structured communication regarding MVPI renewals is a concern, as the MVPI renewal clause is already specified in the main lease contract._x000a__x000a_It was also noted that there were no subsequent charging of penalties/violation amount to the customers upon delaying MVPI and renewals._x000a__x000a_This gap in the MVPI renewal communication process can lead to several adverse impacts, including:_x000a__x000a_•_x0009_Customer inconvenience due to potential disruptions in vehicle usage_x000a_•_x0009_Non-compliance with regulatory requirements related to MVPI renewals_x000a_•_x0009_Reputational risks for the organization due to the failure to proactively manage MVPI expiry_x000a_•_x0009_Financial loss due to violations incurred."/>
    <s v="•_x0009_Develop and integrate a system to send automated alerts (SMS, email, or app notifications) to customers 30, 15, and 7 days before their MVPI expiry._x000a_•_x0009_Include details on the renewal process and the necessary steps customers must follow._x000a_•_x0009_Ensure that customer contact details and MVPI expiry dates are accurately maintained in the system to enable timely notifications._x000a_•_x0009_Any fines or penalties towards violations must be charged to customers as per agreed contract"/>
    <s v="Medium"/>
    <s v="Operation"/>
    <s v="Operations Manager"/>
    <d v="2025-06-30T00:00:00"/>
    <d v="2025-12-31T00:00:00"/>
    <s v="Open Due"/>
    <n v="365"/>
    <s v="Less than 1 Year"/>
    <s v="All these highlighted cases were referred to customers and renewals are under process. As recommended, management will coordinate with IT for automated alerts to customers and follow-ups will be made by respective lease coordinators. Upon this if any fines or penalties occur then it will be charged to customers as per agreed contract terms and conditions."/>
  </r>
  <r>
    <n v="244"/>
    <s v="BTC"/>
    <n v="2024"/>
    <s v="IT"/>
    <s v="IT"/>
    <s v="Absence of Information Technology (IT) Governance Framework"/>
    <s v="A governance model outlines strategic direction, roles and responsibilities, processes for decision making, reporting and oversight. This helps organizations leverage IT in a manner that optimizes business operations._x000a_The lack of a defined IT governance framework limits the organization's ability to ensure technology initiatives align with and support corporate objectives. _x000a_ _x000a_However, upon review we found: _x000a_•_x0009_Formal planning documents such as an approved IT Governance Framework have not been established. As a result, there is no defined approach to how IT will be leveraged in support of organizational goals. _x000a_•_x0009_A formal IT steering committee, which usually provides executive oversight of the IT strategy, service delivery and project portfolio, has not been established and implemented. This limits leadership prioritization and accountability for strategic technology initiatives. _x000a_•_x0009_A formal IT Risk Management Framework does not exist. Further, periodic risk assessments are not carried out by the IT department to identify, quantify, and prioritize IT risks. _x000a__x000a_Concise list of elements that an IT Governance Framework should include:_x000a_•_x0009_Governance Structure_x000a_•_x0009_Strategic Alignment_x000a_•_x0009_Value Delivery_x000a_•_x0009_Risk Management_x000a_•_x0009_Resource Management_x000a_•_x0009_Performance Measurement_x000a_•_x0009_Policies, Standards, and Procedures_x000a_•_x0009_Compliance &amp; Legal Requirements_x000a_•_x0009_Architecture and Standards_x000a_•_x0009_Decision-making Mechanisms_x000a_•_x0009_Continuous Improvement"/>
    <s v="_x000a_•_x0009_Develop an IT governance framework that clearly defines priorities, roles, and decision-making processes. This will better align technology with the long-term business plan. _x000a_•_x0009_Establish an executive IT steering committee to provide strategic direction and monitor performance against objectives. Regular oversight will help address issues early._x000a_•_x0009_Develop a formal Enterprise IT Risk Management Framework tailored specifically for company requirements.  Regular periodic risk assessments should be conducted by the IT team to continuously evaluate threats to systems, assets, data and dependencies. Assessments should identify new and evolving. risks as well as re-evaluate existing risks as the internal/external environment changes. _x000a_"/>
    <s v="High"/>
    <s v="Policies &amp; Procedures"/>
    <s v="IT Manager"/>
    <d v="2025-12-31T00:00:00"/>
    <d v="2025-12-31T00:00:00"/>
    <s v="Open Due"/>
    <n v="181"/>
    <s v="Less than 6 Months"/>
    <s v="The IT department will coordinate with Group IT head and BTC higher management to develop IT governance Framework and related documents as mentioned above"/>
  </r>
  <r>
    <n v="245"/>
    <s v="BTC"/>
    <n v="2024"/>
    <s v="IT"/>
    <s v="IT"/>
    <s v="Absence Of IT Strategy"/>
    <s v="An IT strategy is a comprehensive plan that outlines how technology will be used to achieve an organization’s business objectives. Its primary goals are to ensure that IT initiatives are directly aligned with the broader business strategy, maximize the value of technology investments, enhance operational efficiency, and support informed decision-making. By guiding the adoption of secure, cost-effective, and innovative technologies, an effective IT strategy helps organizations stay competitive, manage risks, and drive digital transformation._x000a__x000a_During our review, we observed that the BTC does not have a formally approved IT strategy in place. This absence means there is no clear, documented approach for leveraging IT to support and advance the organization’s goals, potentially resulting in missed opportunities and misalignment between technology initiatives and business priorities. "/>
    <s v="Develop an IT strategy that clearly defines priorities, roles, and decision-making processes. This will better align technology with the long-term business plan and objectives"/>
    <s v="High"/>
    <s v="Policies &amp; Procedures"/>
    <s v="IT Manager"/>
    <d v="2025-12-31T00:00:00"/>
    <d v="2025-12-31T00:00:00"/>
    <s v="Open Due"/>
    <n v="181"/>
    <s v="Less than 6 Months"/>
    <s v="The company has already hired a consultant for development of business strategy for BTC, hence, after the completion of the overall business strategy of the BTC, IT strategy will be developed cascading the overall strategy."/>
  </r>
  <r>
    <n v="246"/>
    <s v="BTC"/>
    <n v="2024"/>
    <s v="IT"/>
    <s v="IT"/>
    <s v="Absence of Approved Policy and Procedure Manual."/>
    <s v="During review of existing available IT policies and procedures manual (Draft version), we noted that it is not approved, comprehensive, and updated to meet the current business requirements. _x000a__x000a_The gaps and inadequately covered areas are as under: _x000a_•_x0009_IT Business Continuity Planning_x000a_•_x0009_IT Disaster Recovery Planning_x000a_•_x0009_IT SLA management_x000a_•_x0009_IT Configuration management_x000a_•_x0009_IT change management_x000a_•_x0009_IT Patch management_x000a_•_x0009_IT Management_x000a_•_x0009_IT Data Center Management _x000a_•_x0009_Cloud services Management_x000a_•_x0009_IT Monitoring services_x000a_•_x0009_IT Asset Management _x000a_•_x0009_IT Backup and restoration Management_x000a_•_x0009_IT Incident and Emergency Management."/>
    <s v="Develop, formalize, approve, and communicate a comprehensive IT policies and procedures manual that aligns with current business operations, technology infrastructure, and regulatory expectations. This should include the establishment of a policy management framework to ensure ongoing maintenance, review, and alignment with evolving business needs"/>
    <s v="High"/>
    <s v="Policies &amp; Procedures"/>
    <s v="IT Manager"/>
    <d v="2025-12-31T00:00:00"/>
    <d v="2025-12-31T00:00:00"/>
    <s v="Open Due"/>
    <n v="181"/>
    <s v="Less than 6 Months"/>
    <s v="Draft policies and procedures have already been submitted to the board secretary for final approval."/>
  </r>
  <r>
    <n v="247"/>
    <s v="BTC"/>
    <n v="2024"/>
    <s v="IT"/>
    <s v="IT"/>
    <s v="Weaknesses In Backup Process"/>
    <s v="Our review of IT backup procedures at BTC for its server’s infrastructure, along with specific systems managed by Group IT at the Head Office, identified critical weaknesses._x000a_For BTC's servers, backups are conducted on a regular schedule using Veeam Backup &amp; Replication, with copies stored in two separate locations within the same data center. While server virtualization is in place, virtual machine snapshots are also located in this primary data center._x000a_Furthermore, our examination of backup processes across both Group IT and BTC revealed the following significant deficiencies:_x000a_1._x0009_No Verification of Backup Recoverability: There is no documented evidence to confirm that backups performed by either Group IT or BTC can be successfully restored._x000a_2._x0009_Suboptimal Tape Inventory Practices: The management of tape inventories in both Group IT and BTC does not adhere to established best practices._x000a_3._x0009_Lack of Backup Logging and Retention: Neither Group IT nor BTC maintains adequate logs of backup activities, and there is no defined policy outlining how long these logs should be preserved"/>
    <s v="•_x0009_Implement a schedule for regular backup testing to ensure that backups are functional and can be restored when needed, Maintain detailed records of all backup tests, including dates, results, and any issues encountered. _x000a_•_x0009_Follow best practices for tape library implementation, including regular maintenance, firmware updates, and secure storage locations_x000a_•_x0009_Schedule frequent backup logs."/>
    <s v="High"/>
    <s v="Cybersecurity"/>
    <s v="IT Manager"/>
    <d v="2025-12-31T00:00:00"/>
    <d v="2025-12-31T00:00:00"/>
    <s v="Open Due"/>
    <n v="181"/>
    <s v="Less than 6 Months"/>
    <s v="1._x0009_We will develop and implement regular periodic back-up testing procedures and document it accordingly. _x000a_2._x0009_The company is planning to buy a new server (local Storage) for backup in BTC data center."/>
  </r>
  <r>
    <n v="248"/>
    <s v="BTC"/>
    <n v="2024"/>
    <s v="IT"/>
    <s v="IT"/>
    <s v="Absence of Department Organization Structure, KPIs and Job Description"/>
    <s v="During review, IA noted that:_x000a_•_x0009_Approved organizational structure for the IT department is not available._x000a_•_x0009_Job descriptions and succession planning for key staff were not developed and available for review._x000a_•_x0009_Absence of a cybersecurity position and function in BTC._x000a_•_x0009_No KPIs are defined, approved and communicated to key employees."/>
    <s v="Management should develop Org. structure, KPI &amp; Job description, succession plan &amp; get it approved as per authority matrix and communicate it to the staff."/>
    <s v="High"/>
    <s v="Org. structur, JD &amp; KPI's"/>
    <s v="IT Manager"/>
    <d v="2025-12-31T00:00:00"/>
    <d v="2025-12-31T00:00:00"/>
    <s v="Open Due"/>
    <n v="181"/>
    <s v="Less than 6 Months"/>
    <s v="•_x0009_Organizational structure and job description is already drafted and shared with HR; department will coordinate with HR to finalize it and get it approved from CEO._x000a_•_x0009_KPIs will be developed and get it approved accordingly."/>
  </r>
  <r>
    <n v="249"/>
    <s v="BTC"/>
    <n v="2024"/>
    <s v="IT"/>
    <s v="IT"/>
    <s v="Absence of Disaster Recovery Process and Location Of (DR)Site"/>
    <s v="During our review we revealed that the current state of backup practices presents significant risks that could lead to extended system outages and complex recovery scenarios for system administrators. Robust backup systems are vital for swift system restoration, minimizing operational downtime and its associated impact. Safeguarding and retaining data is paramount for ensuring system integrity and effectiveness._x000a__x000a_Our review revealed the following critical shortcomings in backup and recovery preparedness:_x000a_1._x0009_No Disaster Recovery (DR) Plan: A formal and documented Disaster Recovery plan is absent, leaving the organization without a defined strategy for business continuity in the event of a significant disruption._x000a_2._x0009_Lack of Offline Backups: Neither Group IT nor BTC performs offline backups, which are crucial for protection against cyberattacks (like ransomware) and logical corruption that could affect online backups._x000a_3._x0009_Insufficient Backup Redundancy and No DR Site: All backup copies are currently stored within the primary data center (NOUR NET). The absence of a secondary Disaster Recovery site means there is no geographically separate location to restore systems and data from in case of a localized disaster affecting the primary data center."/>
    <s v="•_x0009_Schedule regular offline backups with different locations for critical data in Fleet Express and Microsoft Dynamics. Store these backups on secure, encrypted external drives or offline servers._x000a_•_x0009_Set up a DR site in a geographically separate location from the primary data center. This site should be capable of taking over operations in case of a failure at the primary site."/>
    <s v="High"/>
    <s v="Cybersecurity"/>
    <s v="IT Manager"/>
    <d v="2025-12-31T00:00:00"/>
    <d v="2025-12-31T00:00:00"/>
    <s v="Open Due"/>
    <n v="181"/>
    <s v="Less than 6 Months"/>
    <s v="The department will coordinate with Group IT to check the feasibility of the establishment of DR site and offline back up and proceed accordingly."/>
  </r>
  <r>
    <n v="250"/>
    <s v="BTC"/>
    <n v="2024"/>
    <s v="IT"/>
    <s v="IT"/>
    <s v="Weakness In End Point Security"/>
    <s v="In today’s digital landscape, protecting endpoints – devices such as laptops, servers, smartphones, and other connected devices– is crucial for any business. Cyber threats continue to evolve, becoming more sophisticated and harder to detect. Endpoint security controls serve as essential safeguards to protect these devices from malware, ransomware, and unauthorized access. _x000a__x000a_During the detailed review of End Point Security, we observed the following discrepancies: -_x000a_1._x0009_ Inadequate software installation restriction for normal users._x000a_2._x0009_Absence of Mobile Device Management (MDM) security control to manage end point devices security._x000a_3._x0009_Absence of controls to protect corporate email data on personal devices which are available without applying security restrictions for personal devices, _x000a_4._x0009_Lack of secure wipe performed for sold computers devices; they just format hard drive (HDD)._x000a_5._x0009_Lack of security controls for used, free or trial software like Any Disk, WinRAR and VNC"/>
    <s v="•_x0009_Implement Group Policies to Restrict Software Installations._x000a_•_x0009_Implement MDM to enforce security policies such as device encryption, strong authentication, and regular software updates._x000a_•_x0009_Use security wiping with other security measures such as encryption to enhance overall data protection_x000a_•_x0009_Implement MDM E-mail secured using restrictions_x000a_•_x0009_Ensure secure wiping is in place and professional software is used to wipe data in case devices being transferred from any new employee or sold."/>
    <s v="High"/>
    <s v="Cybersecurity"/>
    <s v="IT Manager"/>
    <d v="2025-09-30T00:00:00"/>
    <d v="2025-09-30T00:00:00"/>
    <s v="Open Due"/>
    <n v="273"/>
    <s v="Less than 1 Year"/>
    <s v="•_x0009_The department will coordinate with Group IT and apply the restriction on software installation._x000a_•_x0009_Further, we will coordinate with group IT to check and discuss the feasibility of implementing the other recommendations."/>
  </r>
  <r>
    <n v="251"/>
    <s v="BTC"/>
    <n v="2024"/>
    <s v="IT"/>
    <s v="IT"/>
    <s v="Lack Of Change management (CM) Process"/>
    <s v="Currently most of the changes are approved by (email) and Mange Engine Tools (Ticketing system), and there is a lack of Change management procedures for the application, database, systems software, network, and hardware to comply with standard and best practice._x000a__x000a_ During the review of IT configuration management and change management, we observed the following: -_x000a_1._x0009_Absence of formal documented Request for Change (RFC) with full details including proposed change, purpose, scope, and effects on system._x000a_2._x0009_Lack of risk assessment, impact analysis, and resource requirements before authorization and implementation._x000a_3._x0009_Lack of version control to ensure that version control systems are used to track changes for configurations and rules set."/>
    <s v="•_x0009_Establish a standardized template for documenting change requests, including impact analysis, approval workflows, and stakeholder reviews. _x000a_•_x0009_Implement risk assessments before approving and executing changes to mitigate unintended disruptions. _x000a_•_x0009_Establish changing control processes to manage and document all changes to configurations. "/>
    <s v="High"/>
    <s v="Policies &amp; Procedures"/>
    <s v="IT Manager"/>
    <d v="2025-09-30T00:00:00"/>
    <d v="2025-09-30T00:00:00"/>
    <s v="Open Due"/>
    <n v="273"/>
    <s v="Less than 1 Year"/>
    <s v="The department will develop a formal process for change management, standardized template and implement it as recommended._x000a_"/>
  </r>
  <r>
    <n v="252"/>
    <s v="BTC"/>
    <n v="2024"/>
    <s v="IT"/>
    <s v="IT"/>
    <s v="Absence Of Business Continuity Plan (BCP)."/>
    <s v="A robust IT Business Continuity Plan (BCP) is a critical framework designed to safeguard an organization's personnel and IT assets, ensuring a swift and effective return to normal operations in the face of disruptive events, whether natural disasters, cyberattacks, or other unforeseen circumstances. The BCP acts as a blueprint for maintaining essential business functions during and after a crisis. Crucially, the plan's efficacy hinges on rigorous testing conducted under simulated emergency conditions. These tests are invaluable for uncovering hidden weaknesses, validating recovery procedures, and guaranteeing the plan's accuracy and reliability when a real crisis strikes._x000a_During our audit, we identified the following significant gaps:_x000a_1._x0009_Lack of a Formally Approved Business Continuity Plan: BTC does not have a formally documented and approved BCP in place. This absence means there is no established framework to guide the organization’s response and recovery efforts in the event of a disruption, increasing the risk of prolonged outages and uncoordinated recovery actions._x000a_2._x0009_No Business Impact Analysis (BIA): There is no evidence that a Business Impact Analysis has been conducted. A BIA is essential for identifying critical business functions, assessing the potential impacts of various types of disruptions, and prioritizing recovery efforts."/>
    <s v="•_x0009_Develop &amp; Formalize a Business Continuity Plan_x000a_•_x0009_Conduct Risk Assessments to Identify potential threats, assess vulnerabilities, and design mitigation strategies to minimize risks._x000a_•_x0009_Perform a comprehensive BIA to identify critical business processes, IT systems, dependencies, and potential impacts of disruptions._x000a_•_x0009_Raise Awareness and Training to ensure staff are trained in business continuity procedures and their roles in case of a disruption._x000a_•_x0009_Implement Cloud Integration to enhance flexibility and scalability."/>
    <s v="High"/>
    <s v="Policies &amp; Procedures"/>
    <s v="IT Manager"/>
    <d v="2025-12-31T00:00:00"/>
    <d v="2025-12-31T00:00:00"/>
    <s v="Open Due"/>
    <n v="181"/>
    <s v="Less than 6 Months"/>
    <s v="The department will coordinate with Group IT to develop a business continuity plan, related risk assessment and business impact analysis. "/>
  </r>
  <r>
    <n v="253"/>
    <s v="BTC"/>
    <n v="2024"/>
    <s v="IT"/>
    <s v="IT"/>
    <s v="Inadequate Process for Access Management"/>
    <s v="Access control is a security technique that regulates identification, authentication, and authorization of users or systems attempting to access protected resources. These resources may include:_x000a_•_x0009_Applications and systems_x000a_•_x0009_Sensitive data and databases_x000a_•_x0009_Network infrastructure_x000a_•_x0009_Physical or virtual devices_x000a_The key objectives are:_x000a_•_x0009_Ensure users can access only the resources explicitly required for their role (need-to-know basis)._x000a_•_x0009_Enforces least-privilege principles, granting minimal necessary permissions._x000a_•_x0009_Prevent unauthorized access through authentication (e.g., passwords, MFA Multi-Factor Authentication) and authorization checks (e.g., role-based access control)._x000a_•_x0009_Protects against data breaches, insider threats, and cyberattacks._x000a_•_x0009_Aligns with regulatory standards (e.g., ISO 27001, NIST, NCA) requiring auditable access logs._x000a_•_x0009_Tracks user activities for forensic analysis and policy enforcement._x000a__x000a_During the assessment of IT operations, it was identified that the organization has an inadequate Identity and User Access Management process in place. Several noted issues are as under: _x000a_•_x0009_Lack of a Single Sign-On (SSO) solution to govern access to all applications._x000a_•_x0009_Absence of Privileged Access Management (PAM) tools is in place to monitor the administrative user activity over critical systems and applications. _x000a_•_x0009_Lack of periodic access permission review process in place to verify and update user access permissions. _x000a_•_x0009_lack Multifactor Authentication (MFA) for critical business applications just found in Azure Microsoft services applications like dynamic and email system._x000a_•_x0009_Lack of Virtual Private Network (VPN) Policies to define and enforce procedures for VPN usage, including who can connect, why and purpose."/>
    <s v="•_x0009_Implement SSO solution to enhance security, streamline user access, and improve overall productivity._x000a_•_x0009_Use a centralized (PAM solution to manage and control all privileged accounts across the organization._x000a_•_x0009_Determine the frequency of Periodic access rights review based on the criticality of the responsibilities assigned, operation and associated risks._x000a_•_x0009_Configure (MFA) solution and integrate seamlessly with current applications and infrastructure not just for Microsoft services."/>
    <s v="High"/>
    <s v="Cybersecurity"/>
    <s v="IT Manager"/>
    <d v="2025-12-31T00:00:00"/>
    <d v="2025-12-31T00:00:00"/>
    <s v="Open Due"/>
    <n v="181"/>
    <s v="Less than 6 Months"/>
    <s v="•_x0009_The department will coordinate with group IT for MFA, SSO, and PAM solutions._x000a_•_x0009_Further, the department will coordinate with the Fleet express Vendor for MFA relating to the fleet express system"/>
  </r>
  <r>
    <n v="254"/>
    <s v="BTC"/>
    <n v="2024"/>
    <s v="IT"/>
    <s v="IT"/>
    <s v="Inadequate Patch Management Process"/>
    <s v="While the IT Group centrally manages patches for core infrastructure components like operating systems, servers, and network devices, a fragmented approach exists for certain critical business applications within BTC, specifically Microsoft Dynamics, Car Pro, and Fleet Express. Notably, the deployment of patches for Microsoft Dynamics and Fleet Express is currently a manual process. This decentralized and largely manual approach lacks a centralized vulnerability and patch management solution, hindering the automation of crucial steps such as identifying security weaknesses, testing patches for compatibility, and deploying them efficiently across all systems._x000a_This absence of a unified and automated system creates several challenges and potential risks for the organization's security posture and operational stability. Manual patching is inherently time-consuming, prone to human error, and can lead to inconsistencies in patch levels across different systems. Furthermore, without a centralized view of vulnerabilities and patch status, it becomes difficult to prioritize critical updates and ensure timely remediation of security flaws, potentially leaving systems exposed to known exploits for extended periods._x000a__x000a_During our review of the patch management, we observed the following: -_x0009__x000a_1._x0009_Absence of formal documented process or policy for Patch Management._x000a_2._x0009_All patches managed by BTC are deployed manually and absence of automated tools for Patch Management._x000a_3._x0009_Lack of formal Roll back document._x000a_4._x0009_Absence of Patch Management KPI criteria documentation._x000a_5._x0009_Lack of detailed new patch notification from vendor about patch implementation."/>
    <s v="_x000a_•_x0009_Create a detailed patch management policy that outlines procedures for identifying, prioritizing, testing, and deploying patches_x000a_•_x0009_Implement automated tools to streamline the patching process, reducing the risk of human error and ensuring timely updates._x000a_•_x0009_Develop detailed instructions for each step of the rollback process, including pre-and post-rollback checks._x000a_•_x0009_Establish specific, measurable, achievable, relevant, and time-bound (SMART) KPIs for patch management, such as patch deployment time, compliance rates, and the number of vulnerabilities addressed._x000a_•_x0009_Collaborate with Third-Party Vendor to Provide feedback with formal document for New Patch with full details about Request information, clarification criteria, Risk assessment, testing, roll back approved from BTC._x000a_•_x0009_Regularly review and validate patch categorizations to ensure accuracy and develop a formal process for mitigating unpatched vulnerabilities."/>
    <s v="High"/>
    <s v="Cybersecurity"/>
    <s v="IT Manager"/>
    <d v="2025-12-31T00:00:00"/>
    <d v="2025-12-31T00:00:00"/>
    <s v="Open Due"/>
    <n v="181"/>
    <s v="Less than 6 Months"/>
    <s v="•_x0009_The department will develop a policy for patch management in the next version of policies and procedures relating to IT._x000a_•_x0009_We will coordinate with the group IT to check the feasibility of automation of Patch Management process. "/>
  </r>
  <r>
    <n v="255"/>
    <s v="BTC"/>
    <n v="2024"/>
    <s v="IT"/>
    <s v="IT"/>
    <s v="Lack Of IT Incident Management Procedures."/>
    <s v="An effective IT Incident Management Process is essential to ensure timely detection, response, and resolution of IT-related disruptions. A structured and formalized approach helps minimize downtime, maintain service availability, and preserve customer satisfaction and business continuity. Without such a framework, incidents may be handled inconsistently or delayed, increasing the risk of operational outages and service degradation._x000a__x000a_The absence of a formalized IT incident management process can significantly increase system downtime, reduce customer satisfaction, and cause operational disruptions. Without structured procedures, the organization struggles to respond promptly and effectively to IT incidents, leading to prolonged outages, financial losses, and reputational damage. While daily issues are logged and addressed using the ManageEngine ServiceDesk Plus tool, there are no documented metrics, statistical analyses, or containment strategies to guide problem resolution or prevent recurrence._x000a_During our review of the incidents and Problem Management, we observed the following: -_x000a__x000a_•_x0009_Absence of IT Incident Management and Emergency policy._x000a_•_x0009_Lack of incident Resolution Time matrix practices._x000a_•_x0009_Lack of procedures for incidents classification based on severity and impact._x000a_•_x0009_Absence of periodic incident Reporting and Analysis."/>
    <s v="•_x0009_Create IT incident and emergency policy that outlines the procedures for identifying, responding to, and recovering from incidents and emergencies._x000a_•_x0009_Ensure the policy covers all types of incidents, including cybersecurity breaches, system failures, and natural disasters._x000a_•_x0009_Utilize automated tools to manage incidents. These tools can help in tracking, reporting, and resolving issues more efficiently. Automation ensures that incidents are logged and prioritized correctly, reducing response times._x000a_•_x0009_Implement a structured system for reporting and analyzing incidents and their root causes."/>
    <s v="High"/>
    <s v="Policies &amp; Procedures"/>
    <s v="IT Manager"/>
    <d v="2025-12-31T00:00:00"/>
    <d v="2025-12-31T00:00:00"/>
    <s v="Open Due"/>
    <n v="181"/>
    <s v="Less than 6 Months"/>
    <s v="The department will develop incident management policy and procedures and implement accordingly."/>
  </r>
  <r>
    <n v="256"/>
    <s v="BTC"/>
    <n v="2024"/>
    <s v="IT"/>
    <s v="IT"/>
    <s v="Weaknesses identified in Physical and Environmental Security"/>
    <s v="Currently, there are various systems installed for safety in BTC Data center, certain equipment and application licenses need to be updated and renewed to keep safety requirements in line with the best industry practices and accelerated developments in the market._x000a_During the Review of Physical &amp; Environment Security we observed the following: -_x000a_1._x0009_Absence of Water/Leak and Humidity sensor._x000a_2._x0009_Absence of FM200 fire system for data center. The current system in use does not align with the best industry practice for infrastructure and primary data center._x000a_3._x0009_Absence of additional UPS (uninterruptible power supply) in the data center room._x000a_4._x0009_Unsecure of certain network cabinets opened with poor cable management._x000a_5._x0009_Lack of safety from storing some equipment inside the data center._x000a_6._x0009_Lack of Monitoring Dashboard and alerts/ notification for environmental monitoring system during working or non-working hours, currently monitoring is performed manually by facility department._x000a_7._x0009_Absence of physical log or data center visitor log._x000a_8._x0009_Access control software for data center is not implemented._x000a_9._x0009_Lack of periodic review of data center access privileges."/>
    <s v="_x000a_•_x0009_Use Water/Leak and Humidity sensor to protect data center valuable assets, and sensitive equipment from water and humidity damage._x000a_•_x0009_Use FM200 for more safety, Foam fire suppression systems can be used in areas where water damage is a concern. They are effective in smothering fires and preventing re-ignition_x000a_•_x0009_Implement fully mirrored UPS systems for complete failover._x000a_•_x0009_Ensure all network cabinets are locked and accessible only to authorized personnel and Conduct Schedule regular checks to ensure cables are in good condition and securely fastened._x000a_•_x0009_Avoid storing any kind of extra equipment in IT Data Canter._x000a_•_x0009_Conduct Real-time Monitoring with SMS or email alerts and integrate data from third-party sensors to provide a comprehensive view of server room conditions._x000a_•_x0009_Schedule regular reviews of logs to identify and address potential issues promptly._x000a_•_x0009_Use software to manage access permissions and monitor entry points effectively._x000a_•_x0009_Schedule periodic reviews to ensure access permissions are up-to-date and aligned with current roles and responsibilities"/>
    <s v="High"/>
    <s v="System &amp; Application"/>
    <s v="IT Manager"/>
    <d v="2025-12-31T00:00:00"/>
    <d v="2025-12-31T00:00:00"/>
    <s v="Open Due"/>
    <n v="181"/>
    <s v="Less than 6 Months"/>
    <s v="The IT department will upgrade the data center and will consider observation #1-6 and implement accordingly._x000a_Further the IT department will review and improve access controls as given in observation # 6-9."/>
  </r>
  <r>
    <n v="257"/>
    <s v="BTC"/>
    <n v="2024"/>
    <s v="IT"/>
    <s v="IT"/>
    <s v="Inadequate Network Monitoring "/>
    <s v="Network monitoring is vital for ensuring the security, performance, and reliability of an organization’s IT infrastructure. It involves the continuous observation of network components—such as routers, switches, firewalls, servers, endpoints, and applications—to detect anomalies, performance issues, or security threats. The absence of robust, 24/7 network monitoring tools and processes hinders the real-time identification of vulnerabilities, leaving the network susceptible to cyberattacks, performance degradation, and unauthorized access. Effective monitoring relies on tools like Network Performance Monitoring (NPM) solutions, Security Information and Event Management (SIEM) systems, and Intrusion Detection/Prevention Systems (IDS/IPS), which provide visibility, alerting, and analytics to proactively manage risks._x000a_Most of Services are managed currently by IT Group, and the following gaps are identified during the review:_x000a_1._x0009_Absence of 24/7 real-time monitoring tools and dashboard. _x000a_2._x0009_lack of alerting mechanisms and notification in real time._x000a_3._x0009_Absence of centralized Security information and event management (SIEM)Tools for events management._x000a_4._x0009_Absence of log analysis for Intrusion Detection System (IDS) and Intrusion Prevention System (IPS)."/>
    <s v="•_x0009_Implement tools for continuous monitoring of network traffic, user activities, and system logs to identify and mitigate threats promptly._x000a_•_x0009_Implement alert/notifications system across multiple channels such as email, SMS, and mobile apps to ensure timely communication._x000a_•_x0009_Implement SIEM tools for significantly enhance security posture, ensuring better protection against threats and compliance with regulations. _x000a_•_x0009_Integrate IDS and IPS logs with Security Information and Event Management (SIEM) systems for comprehensive threat detection and response"/>
    <s v="High"/>
    <s v="Cybersecurity"/>
    <s v="IT Manager"/>
    <d v="2025-12-31T00:00:00"/>
    <d v="2025-12-31T00:00:00"/>
    <s v="Open Due"/>
    <n v="181"/>
    <s v="Less than 6 Months"/>
    <s v="All the network is handled by the Group IT team, BTC IT department will coordinate with the group to improve and implement network monitoring tools."/>
  </r>
  <r>
    <n v="258"/>
    <s v="BTC"/>
    <n v="2024"/>
    <s v="IT"/>
    <s v="IT"/>
    <s v="Inadequate Network Security Controls"/>
    <s v="Weak network security makes it easier for cybercriminals to exploit vulnerabilities, leading to data breaches, unauthorized access, and other malicious activities._x000a_During the Review of Network Security, we observed the following: -_x000a_1._x0009_Inadequate firewall security control for enabling massaging protocols (whatsapp.com-gmail.com-snapchat) for normal users._x000a_2._x0009_Inadequate firewall security control for certain open ports services such as (ftp-ssh) _x000a_3._x0009_Lack of Logs and Audit Trail for systems and applications Kerridge, Microsoft Dynamic, Carpro and Fleet._x000a_4._x0009_Lack of backup of firewalls configuration for all BTC branches firewalls_x000a_5._x0009_Absence of Network Data Loss Prevention (DLP) tools _x000a_6._x0009_Absence of Network Access Control (NAC) tools"/>
    <s v="•_x0009_Use security solutions to restrict and monitor messaging protocol traffic._x000a_•_x0009_Regularly review and close any ports that are not required for business operations_x000a_•_x0009_Enable logs for system admin applications (Dynamic, fleet control) and ensure protected against tampering and unauthorized access._x000a_•_x0009_Conduct Comprehensive Data Discovery to identify and classify, categorize sensitive data based on its importance and risk level within network to ensure it is adequately protected and create comprehensive DLP policies that define how data should be protected and shared._x000a_•_x0009_Choose a NAC solution that fits the network’s needs, providing comprehensive visibility and control over all devices and users."/>
    <s v="High"/>
    <s v="Cybersecurity"/>
    <s v="IT Manager"/>
    <d v="2025-12-31T00:00:00"/>
    <d v="2025-12-31T00:00:00"/>
    <s v="Open Due"/>
    <n v="181"/>
    <s v="Less than 6 Months"/>
    <s v="•_x0009_All the network is handled by the Group IT team, BTC IT department will coordinate with the group to improve and implement network security and controls as mentioned in the recommendations._x000a_•_x0009_Relating to point#3, BTC will handle logs and audit trails of fleet Express and Micro Soft Dynamix, and Group IT will handle CarPro and Kerridge."/>
  </r>
  <r>
    <n v="259"/>
    <s v="BTC"/>
    <n v="2024"/>
    <s v="IT"/>
    <s v="IT"/>
    <s v="Weakness In Application Security"/>
    <s v="Application security describes security measures at the application level that aim to prevent data or code within the app from being stolen or hijacked. It encompasses the security considerations that happen during application development and design, but it also involves systems and approaches to protect apps after they get deployed._x000a_During the Review of Application security, we observed the following: -_x000a_•_x0009_Absence of Web Application Firewall (WAF) to safeguard the applications from threats by monitoring, filtering, and blocking malicious data packets._x000a_•_x0009_Absence of penetration test and vulnerability assessment._x000a_•_x0009_Inadequate Security controls for internet browsers implemented as users saving passwords on their internet browser like (Google Chrome, Mozilla Firefox, Microsoft Edge)."/>
    <s v="•_x0009_Configure WAF to filter and block malicious traffic by defining security rules based on common attack patterns._x000a_•_x0009_Perform vulnerability assessments to identify potential weaknesses in applications. _x000a_•_x0009_Schedule regular penetration tests to identify and address security vulnerabilities in applications. This proactive approach helps mitigate risks before they can be exploited._x000a_•_x0009_Enforcing password policy across all systems and applications and conducting ongoing training sessions and cyber security awareness for BTC employees covering topics like phishing, password security, safe web browsing, and social engineering"/>
    <s v="High"/>
    <s v="Cybersecurity"/>
    <s v="IT Manager"/>
    <d v="2025-11-30T00:00:00"/>
    <d v="2025-11-30T00:00:00"/>
    <s v="Open Due"/>
    <n v="212"/>
    <s v="Less than 1 Year"/>
    <s v="The IT department will coordinate with the Group IT for the implementation relating to the above recommended points."/>
  </r>
  <r>
    <n v="260"/>
    <s v="BTC"/>
    <n v="2024"/>
    <s v="IT"/>
    <s v="IT"/>
    <s v="Gaps Identified In SLA Management"/>
    <s v="Effective Service Level Agreement (SLA) management is essential for ensuring that outsourced services, particularly cloud-based and third-party services, meet the required standards of performance, availability, and responsiveness. Poor SLA management can significantly disrupt business operations by causing delays in service delivery, increasing operational costs due to inefficiencies, and exposing the organization to compliance risks and potential contractual penalties._x000a_Without clearly defined performance metrics, regular monitoring, and accountability frameworks, organizations are unable to assess vendor performance accurately or take corrective actions when service levels fall short. This undermines strategic partnerships, reduces competitive advantage, and weakens internal control over critical IT and business processes._x000a_On the other hand, implementing robust SLA management practices enables better coordination between internal teams and service providers, enhances compliance with regulatory and contractual obligations, and supports continuous improvement in service delivery._x000a_During the audit we noted that:  _x000a_1._x0009_Absence of KPI Criteria for Measuring SLA Performance._x000a_2._x0009_Absence of periodic SLA Monitoring._x000a_3._x0009_lack of formally defined RACI (Responsible, accountable, consulted and informed) roles and responsibilities for cloud services."/>
    <s v="•_x0009_Create detailed policies cover all aspects of SLA management, acquisition, service delivery, and supplier agreements. _x000a_•_x0009_Use a centralized system to manage relationships, track performance, and ensure compliance with contractual obligations._x000a_•_x0009_Develop and implement specific KPIs to measure performance, such as delivery times, quality standards, and compliance rates._x000a_•_x0009_Utilize automated tools to continuously monitor SLA performance, ensuring real-time tracking and reporting._x000a_•_x0009_Create a RACI matrix to clearly define the roles and responsibilities for all parties involved in cloud services and integrate the RACI matrix with project management tools to streamline processes and improve efficiency"/>
    <s v="Medium"/>
    <s v="Policies &amp; Procedures"/>
    <s v="IT Manager"/>
    <d v="2025-09-30T00:00:00"/>
    <d v="2025-09-30T00:00:00"/>
    <s v="Open Due"/>
    <n v="273"/>
    <s v="Less than 1 Year"/>
    <s v="The IT department will develop KPIs and RACI and monitor the SALs on a periodic basis."/>
  </r>
  <r>
    <n v="261"/>
    <s v="BTC"/>
    <n v="2024"/>
    <s v="IT"/>
    <s v="IT"/>
    <s v="Absence Of Training Plan"/>
    <s v="An IT training plan is a systematic approach to educating employees about the importance of information technology and providing them with the necessary skills and knowledge to use it effectively in the workplace. _x000a_Further, cybersecurity awareness programs are crucial to mitigate relevant risks and ensure that BTC is resilient for delivery services_x000a_During the review, the Internal Audit team noted that:_x000a_•_x0009_The IT training plan is not developed to ensure the IT staff have the necessary skills and knowledge to manage technology effectively and securely in the workplace. _x000a_•_x0009_IT training sessions (workshops and live training) are not provided for IT staff. _x000a_•_x0009_Lack of cyber security awareness program/workshop and training._x000a_•_x0009_Lack of ethical IT training. "/>
    <s v="•_x0009_Conduct a Needs Assessment to Identify the specific skills and knowledge gaps within organization. This will help tailor the training program to address the most critical areas._x000a_•_x0009_Create a structured IT training plan/cyber security awareness program that includes a mix of classroom training, online courses, workshops, and on-the-job training _x000a_•_x0009_Continuously assess and update the ethics training program to keep it relevant and effective in addressing new ethical challenges. "/>
    <s v="Medium"/>
    <s v="Org. structur, JD &amp; KPI's"/>
    <s v="IT Manager"/>
    <d v="2025-09-30T00:00:00"/>
    <d v="2025-09-30T00:00:00"/>
    <s v="Open Due"/>
    <n v="273"/>
    <s v="Less than 1 Year"/>
    <s v="IT department will coordinate with HR to develop and arrange a training program for IT staff, cyber security awareness campaigns and programs. "/>
  </r>
  <r>
    <n v="262"/>
    <s v="BTC"/>
    <n v="2024"/>
    <s v="IT"/>
    <s v="IT"/>
    <s v="Inadequate IT Asset Management Controls"/>
    <s v="During the review of IT Asset Management, the Audit team noted the following: _x000a_1._x0009_IT Asset Register is maintained manually on excel and updated in Kerridge system (Fixed Asset Register) on ad-hoc basis and various stages of asset lifecycle including procurement, classification and labeling, deployment, maintenance, support, and retirement /disposal, etc., are missing in the register. _x000a_2._x0009_Absence of centralized asset management system for comprehensive maintenance and monitoring of all assets relating to IT including (servers, routers, firewalls, storage devices)_x000a_3._x0009_Absence of secure asset disposal mechanism performed for IT storage units._x000a_4._x0009_Absence of Assets Scanning Tools for (IN -Out) Tracking and Monitoring of assets._x000a_5._x0009_Absence of license management for tracking, distribution, and utilization functions"/>
    <s v="•_x0009_An IT asset register should be maintained and integrated with Microsoft dynamic including the details such as asset tag, description, asset type (owned/leased), acquisition date, corresponding PO details, number of licenses (in case of software), license type, number of installations, number of users, model number, make, asset serial number, employee name, disposal date, proceeds on disposal, and active lifetime shall be captured in the asset register/ inventory. "/>
    <s v="Medium"/>
    <s v="Policies &amp; Procedures"/>
    <s v="IT Manager"/>
    <d v="2025-09-30T00:00:00"/>
    <d v="2025-09-30T00:00:00"/>
    <s v="Open Due"/>
    <n v="273"/>
    <s v="Less than 1 Year"/>
    <s v="The IT department will check the dynamic system and finance, if it can provide access and modification rights to IT staff relating to IT assets.  Otherwise, will check the possibility of implementing another system facilitating the above functions."/>
  </r>
  <r>
    <n v="263"/>
    <s v="BTC"/>
    <n v="2024"/>
    <s v="IT"/>
    <s v="IT"/>
    <s v="Weaknesses Identified In the Budgetary Process."/>
    <s v="During the review of budget and related process, we observed the following: _x000a__x000a_1._x0009_Absence of approved IT budget for the year 2024, However an unapproved excel base IT budget is provided to us._x000a_2._x0009_There is no variance analysis available for review._x000a_3._x0009_The budget provided does not cover the expected cost/expenses for the following important areas:_x000a_•_x0009_Data Center Environment Maintenance_x000a_•_x0009_Cyber security Management and Monitoring Tools Costs_x000a_•_x0009_Training and Awareness Costs."/>
    <s v="•_x0009_Develop a comprehensive IT budget that should be aligned with the organization's strategic goals and objectives. This budget should encompass all IT-related expenses, including hardware, software, staffing, training, maintenance, and cybersecurity measures. "/>
    <s v="Medium"/>
    <s v="Policies &amp; Procedures"/>
    <s v="IT Manager"/>
    <d v="2025-12-31T00:00:00"/>
    <d v="2025-12-31T00:00:00"/>
    <s v="Open Due"/>
    <n v="181"/>
    <s v="Less than 6 Months"/>
    <s v="The IT department will coordinate with finance in the next budgetary process, will prepare detailed budget for IT and submit for final approval"/>
  </r>
  <r>
    <n v="264"/>
    <s v="BTC"/>
    <n v="2024"/>
    <s v="IT"/>
    <s v="IT"/>
    <s v="Inactive Corporate Website"/>
    <s v="A website helps business build brand awareness and reach new customers. It showcases products or services and generates awareness about them. A premium and well-designed website increases online visibility, reaches the right audience and further expands business._x000a__x000a_During the review we noted the following deficiencies:_x000a__x000a_1._x0009_The website has been down for a long time, and it prevents us from ensuring that website is meeting security requirements as per best practices. _x000a_2._x0009_Weaknesses identified in previous port security configuration, port 2083 is opened._x000a_3._x0009_Lack of periodic backups of website."/>
    <s v="•_x0009_Establish a premium, bespoke and well-designed Website for BTC to enhance visibility and credibility and trust. _x000a_•_x0009_Restrict access to open ports and give permissions just for trusted IP addresses._x000a_•_x0009_Conduct regular backup for BTC website and any configuration made."/>
    <s v="Medium"/>
    <s v="System &amp; Application"/>
    <s v="IT Manager"/>
    <d v="2025-10-31T00:00:00"/>
    <d v="2025-10-31T00:00:00"/>
    <s v="Open Due"/>
    <n v="242"/>
    <s v="Less than 1 Year"/>
    <s v="Website updating is already in progress by the IT team and CEO. It’s under development and will be launched after CEO final approval. The IT team will consider observation point # 2 and 3 during the development."/>
  </r>
  <r>
    <n v="265"/>
    <s v="BTC"/>
    <n v="2025"/>
    <s v="Maintenance"/>
    <s v="Asset management"/>
    <s v="Job cards pending with excessive delay"/>
    <s v="Observation: _x000a_We noted that 6123 job cards (Internal &amp; external) are under status Open &amp; Pending as of 9th February 2025. Out of which 5023 pending job cards pertaining to the year 2015-2020._x000a_Region-wise ageing analysis for pending job cards are as under:_x000a__x000a_Region_x0009_2015_x0009_2016_x0009_2017_x0009_2018_x0009_2020_x0009_2021_x0009_2022_x0009_2023_x0009_2024_x0009_Total_x000a_42-Workshop Jeddah                                _x0009_751_x0009_743_x0009_1058_x0009_239_x0009_90_x0009_1_x0009_32_x0009_70_x0009_77_x0009_3061_x000a_30-Workshop Riyadh_x0009_-_x0009_-_x0009_576_x0009_734_x0009_107_x0009_94_x0009_104_x0009_16_x0009_205_x0009_1836_x000a_17-Workshop South                                 _x0009_-_x0009_-_x0009_103_x0009_18_x0009_103_x0009_8_x0009_85_x0009_21_x0009_54_x0009_392_x000a_74-Workshop Qassim                                _x0009_-_x0009_-_x0009_168_x0009_103_x0009_54_x0009_10_x0009_17_x0009_10_x0009_10_x0009_372_x000a_62-Workshop Khobar                                _x0009_-_x0009_-_x0009_-_x0009_-_x0009_-_x0009_-_x0009_26_x0009_61_x0009_122_x0009_209_x000a_34-Workshop Medina                                _x0009_-_x0009_-_x0009_58_x0009_8_x0009_-_x0009_-_x0009_24_x0009_4_x0009_32_x0009_126_x000a_48-Workshop Yanbu                                 _x0009_-_x0009_-_x0009_84_x0009_2_x0009_3_x0009_-_x0009_4_x0009_-_x0009__x0009_93_x000a_63-Workshop Khafaji AOC                            _x0009_6_x0009_4_x0009_3_x0009_2_x0009_2_x0009_-_x0009_2_x0009_-_x0009_5_x0009_24_x000a_54-Workshop Jubail_x0009_-_x0009_-_x0009_-_x0009_-_x0009_4_x0009_1_x0009_3_x0009_-_x0009_2_x0009_10_x000a_Grand Total_x0009_757_x0009_747_x0009_2050_x0009_1106_x0009_363_x0009_114_x0009_297_x0009_182_x0009_507_x0009_6123_x000a_"/>
    <s v="•_x0009_The maintenance department must ensure every month all job cards should be closed with minimum exceptions having adequate reasoning like major repairs/non-availability of parts related issues._x000a_•_x0009_Maintenance department should ensure not to process such invoices which has been delayed in workshop without proper justification"/>
    <s v="High"/>
    <s v="Operation"/>
    <s v="Maintenance Manager"/>
    <d v="2025-09-30T00:00:00"/>
    <d v="2025-09-30T00:00:00"/>
    <s v="Open Due"/>
    <n v="273"/>
    <s v="Less than 1 Year"/>
    <s v="There are currently open cards in the system, and the IT department has been notified. Right now, the actual number is 4,628 work cards, and they are in the process of being closed. In the new system, no repaired vehicle will be transferred to customers unless the workorder &amp; job card are closed in system and vehicle status is Ready."/>
  </r>
  <r>
    <n v="266"/>
    <s v="BTC"/>
    <n v="2025"/>
    <s v="Maintenance"/>
    <s v="Asset management"/>
    <s v="Delayed Job Card Opening and Post-Facto Documentation"/>
    <s v="_x000a_During audit review of job cards, it was observed that in several instances, the job card opening and closing dates were the same or within a very short interval, despite the nature of repairs (like major accident repairs, engine &amp; transmission overhauling etc.).  Whereas scope of work indicated that the repairs were substantial and time-consuming &amp; work completion would have required multiple days. _x000a_This indicates a delay in the timely opening of job cards, possibly resulting in post-facto documentation rather than real-time recordings of maintenance activities._x000a__x000a_Sample job cards are mentioned as under:_x000a__x000a_ _x000a_Refer Annexure 3 for details"/>
    <s v="•_x0009_Reinforce the policy that job cards must be opened at the actual start of repairs, capturing real-time status of vehicle downtime._x000a_•_x0009_Integrate system alerts flag job cards with overlapping or identical open/close dates, especially for high-cost or time-intensive jobs._x000a_•_x0009_Conduct regular internal reviews and staff training to ensure compliance with maintenance documentation protocols."/>
    <s v="High"/>
    <s v="Operation"/>
    <s v="Maintenance Manager"/>
    <d v="2025-09-30T00:00:00"/>
    <d v="2025-09-30T00:00:00"/>
    <s v="Open Due"/>
    <n v="273"/>
    <s v="Less than 1 Year"/>
    <s v="They have been closed due to not opening a maintenance card in a timely manner, as the card was opened by the insurance department in accident cases. There is only one instance of mechanical repairs where our team in the Jeddah branch was unable to open and close the cards due to a system malfunction and lack of internet at the workshop site. Nevertheless, all branches have been notified of this issue. _x000a_It will be followed and monitored by the Head Office Maintenance Supervisor on a monthly basis and submit this report to the Maintenance Manager."/>
  </r>
  <r>
    <n v="267"/>
    <s v="BTC"/>
    <n v="2025"/>
    <s v="Maintenance"/>
    <s v="Asset management"/>
    <s v="Excessive Maintenance Frequency and Cost for Certain Vehicles"/>
    <s v="_x000a_During audit review for the year 2024, it was observed that several vehicles with a high frequency of job cards and extensive repair histories over short timeframes. There is no formal mechanism to analyse root causes such as vehicle condition, misuse, or inadequate repairs._x000a__x000a_Sample vehicles with higher repair cost is as under:_x000a__x000a_Plate_x0009_Model_x0009_Total job cards_x0009_Total Amount_x000a_4545BSN_x0009_Partner 1.6L Van DSL M/T +CU HT50+Logo_x0009_25_x0009_41,029_x000a_4540BSN_x0009_Partner 1.6L Van DSL M/T +CU HT50+Logo_x0009_26_x0009_27,114_x000a_4525BSN_x0009_Partner 1.6L Van DSL M/T +CU HT50+Logo_x0009_15_x0009_26,271_x000a_2564ASE_x0009_NPR 4T LWB AC MT+INS W SW/RR/DR+HWASUNG HT100+SGD_x0009_28_x0009_25,532_x000a_7589ASS_x0009_NPR 4T LWB AC MT+INS W SW/RR/DR+HWASUNG HT100+SGD_x0009_17_x0009_25,368_x000a_2212ASE_x0009_NPR 4T LWB AC MT+INS W SW/RR/DR+HWASUNG HT100+SGD_x0009_32_x0009_25,118_x000a_9489ASX_x0009_NPR 4T LWB AC MT+INS W SW/RR/DR+HWASUNG HT100+SGD_x0009_24_x0009_24,053_x000a_7362AST_x0009_NPR 4T LWB AC MT+INS W SW/RR/DR+HWASUNG HT100+SGD_x0009_19_x0009_23,865_x000a_9949ARG_x0009_STARIA 3.5L A/T 2WD GAS 9 PSG_x0009_18_x0009_23,345_x000a_8230ASE_x0009_FRR90Q 7.68TON LWB+DRYBOX+SLIDE DOORS L+R+SB M/T D_x0009_20_x0009_23,143_x000a_7791BSJ_x0009_Hi-ace hi-roof DSL CU (+5+15)_x0009_42_x0009_22,525_x000a_1030ARH_x0009_STARIA 3.5L A/T 2WD GAS 9 PSG_x0009_20_x0009_21,902_x000a_1843ARH_x0009_STARIA 3.5L A/T 2WD GAS 9 PSG_x0009_20_x0009_21,674_x000a_2520ARH_x0009_STARIA 3.5L A/T 2WD GAS 9 PSG_x0009_23_x0009_21,490_x000a_9518ARG_x0009_STARIA 3.5L A/T 2WD GAS 9 PSG_x0009_19_x0009_20,216_x000a_1623AST_x0009_NPR 4T LWB AC MT+INS W SW/RR/DR+HWASUNG HT100+SGD_x0009_25_x0009_20,185_x000a_8764AVV_x0009_COUNTY DLX 25-S 3.5L V4 DSL M/T_x0009_19_x0009_20,146_x000a__x000a_Refer Annexure 4 for full details"/>
    <s v="•_x0009_Establish a formal review and escalation process for vehicles with multiple job cards or high repair frequency. This should include root cause analysis, cost-benefit evaluations (e.g., repair vs. replacement), and corrective actions such as retraining, process changes, or decommissioning contracts."/>
    <s v="High"/>
    <s v="Operation"/>
    <s v="Maintenance Manager"/>
    <d v="2025-09-30T00:00:00"/>
    <d v="2025-09-30T00:00:00"/>
    <s v="Open Due"/>
    <n v="273"/>
    <s v="Less than 1 Year"/>
    <s v="They have been closed due to not opening a maintenance card in a timely manner, as the card was opened by the insurance department in accident cases. There is only one instance of mechanical repairs where our team in the Jeddah branch was unable to open and close the cards due to a system malfunction and lack of internet at the workshop site. Nevertheless, all branches have been notified of this issue. _x000a_It will be followed and monitored by the Head Office Maintenance Supervisor on a monthly basis and submit this report to the Maintenance Manager."/>
  </r>
  <r>
    <n v="268"/>
    <s v="BTC"/>
    <n v="2025"/>
    <s v="Maintenance"/>
    <s v="Asset management"/>
    <s v="Excessive Repeat Repairs and Lack of Automated Tracking"/>
    <s v="Observation:_x000a_1._x0009_During the audit of vehicle maintenance records for the period January 2024 to December 2024, it was identified that several vehicles underwent similar repair jobs like AC gas refilling, Batteries, Brake pad replacement &amp; Tyres for multiple times within a short span. In some cases, identical or similar jobs were repeated within couple of months which is inconsistent with standard maintenance schedules and expected service intervals._x000a_Further we noted that in certain cases vehicles with latest models and low mileage went under such repairs are generally not expected in the early life cycle of a vehicle, raising concerns about potential issues with extra cost, vehicle usage, handling, or quality control_x000a__x000a_Summary on sample vehicles repair within a year 2024 are mentioned below:_x000a__x000a_Type of Repair_x0009_No. of vehicles_x0009_No. of Repairs_x0009_Repair frequency within a year on single vehicle_x000a_AC Gas refilling_x0009_16_x0009_64_x0009_4 times_x000a__x0009_36_x0009_108_x0009_3 times_x000a_Batteries_x0009_1_x0009_4_x0009_4 times_x000a__x0009_4_x0009_12_x0009_3 times_x000a_Brake Pads_x0009_3_x0009_9_x0009_3 times_x000a__x0009_14_x0009_28_x0009_2 times_x000a_Tyres_x0009_12_x0009_61_x0009_5-6 times_x000a__x0009_144_x0009_576_x0009_4 times_x000a__x0009_366_x0009_1098_x0009_3 times_x000a__x000a_Refer Annexure 5 for full details_x000a__x000a_2._x0009_It was also noted that Maintenance Department does not currently have an automated mechanism in place to track repeat job orders for the same vehicles or issues. As a result, recurring maintenance problems are not systematically identified, monitored, or analysed"/>
    <s v="•_x0009_Implement a centralized maintenance tracking system to flag recent jobs on vehicles and alert against premature or duplicate work._x000a_•_x0009_Enforce review and approval workflows before authorizing repeat jobs._x000a_•_x0009_Regularly audit vendor invoices and maintenance logs for accuracy and necessity._x000a_•_x0009_Train staff on standard service intervals and ensure adherence to preventive maintenance plans._x000a_•_x0009_Implement a tracking mechanism within the maintenance system to flag and monitor repeat job orders. This could include automated alerts, historical job linkage, and root cause analysis tools to support continuous improvement, reduce costs, and enhance vehicle reliability."/>
    <s v="High"/>
    <s v="Operation"/>
    <s v="Maintenance Manager"/>
    <d v="2025-09-30T00:00:00"/>
    <d v="2025-09-30T00:00:00"/>
    <s v="Open Due"/>
    <n v="273"/>
    <s v="Less than 1 Year"/>
    <s v="Regarding batteries, brakes, and tires, it was noted after signing the contract with the company Tahakom that there was a clause requiring tire replacement every 25,000 km. Currently, all of the company's vehicles have exceeded 140,000 km in less than a year due to excessive use. There are many cases of misuse due to additional equipment and cameras that damage batteries and brakes. As for vehicles charged with refrigerant, these problems are common in the event of accidents or air conditioning system malfunctions, especially with the deterioration of the vehicle's condition and surrounding conditions_x000a_In new system (Fleet Express), maintenance system flag notifications for repeat jobs orders. Also, HO Maintenance Supervisor will review &amp; monitor excessive repairs on quarterly basis and submit report to maintenance manager for his necessary action"/>
  </r>
  <r>
    <n v="269"/>
    <s v="BTC"/>
    <n v="2025"/>
    <s v="Maintenance"/>
    <s v="Asset management"/>
    <s v="Weaknesses in Job Card Lifecycle Management"/>
    <s v="There is a lack of control over job card management and monitoring in the vehicle maintenance process. It was observed that there is a significant delay in closing job cards after maintenance activities are completed. In several instances, job cards remained open for extended periods, even after the physical work on the vehicle had been completed._x000a__x000a_Samples are mentioned as below:_x000a__x000a_ _x000a_"/>
    <s v="•_x0009_Implement clear standard operating procedures (SOPs) with defined timelines for closing job cards post-completion of work._x000a_•_x0009_Train maintenance staff on the importance of prompt job card updates._x000a_•_x0009_Monitor compliance regularly and introduce accountability mechanisms."/>
    <s v="High"/>
    <s v="Operation"/>
    <s v="Maintenance Manager"/>
    <d v="2025-09-30T00:00:00"/>
    <d v="2025-09-30T00:00:00"/>
    <s v="Open Due"/>
    <n v="273"/>
    <s v="Less than 1 Year"/>
    <s v="There are certain limitations and errors in the previous system. Now, after starting the Fleet Express program on 6/7/2025, no one can perform any action without closing the previous card. It is mandatory to close the card immediately upon completion of the work."/>
  </r>
  <r>
    <n v="270"/>
    <s v="BTC"/>
    <n v="2025"/>
    <s v="Maintenance"/>
    <s v="Asset management"/>
    <s v="Ineffective Authority Matrix in Maintenance Department"/>
    <s v="_x000a_The current authority matrix within the Maintenance Department is not in accordance with current business requirements to control or govern maximum transactional activities such as approval of repair jobs, vendor engagements, and maintenance-related expenditures. _x000a_It was noted that extensive authority is given to Branch Supervisor (up to SAR 4000) resulting in 99% of total job cards approved by him and less than 1% approvals lie with Maintenance Manager, hence resulting in operational inefficiencies and weak internal control._x000a__x000a_Summary for 2024 job cards mentioned below:_x000a__x000a_Workshop_x0009_Below SAR 4000 (Br. Supervisor)_x0009_SAR 4000 – 6000 (Asst. Manager)_x0009_SAR 6000 – 10000 (Maint. Manager)_x0009_SAR 10,000 Above (COO)_x000a__x0009_# Job cards_x0009_Amount_x0009_# Job cards_x0009_Amount_x0009_# Job cards_x0009_Amount_x0009_# Job cards_x0009_Amount_x000a_Garage RUH_x0009_14,227_x0009_3,481,596_x0009_55_x0009_255,052_x0009_11_x0009_84,191_x0009_18_x0009_336,903_x000a_Jeddah Workshop_x0009_8,433_x0009_3,342,461_x0009_26_x0009_133,866_x0009_16_x0009_122,478_x0009_5_x0009_73,612_x000a_Khobar Workshop_x0009_6,615_x0009_2,559,360_x0009_48_x0009_245,252_x0009_11_x0009_77,747_x0009_-_x0009_-_x000a_South Workshop_x0009_3,122_x0009_1,312,250_x0009_10_x0009_47,362_x0009_2_x0009_14,064_x0009_-_x0009_-_x000a_JUBAIL WORKSHOP_x0009_1,848_x0009_445,272_x0009_6_x0009_26,620_x0009_1_x0009_8,055_x0009_-_x0009_-_x000a_BTC Madina Workshop_x0009_803_x0009_550,177_x0009_11_x0009_54,237_x0009_18_x0009_132,235_x0009_2_x0009_22,055_x000a_Hail Workshop_x0009_504_x0009_195,545_x0009_4_x0009_20,510_x0009_1_x0009_6,778_x0009_-_x0009_-_x000a_Qassim Workshop_x0009_374_x0009_380,640_x0009_12_x0009_58,558_x0009_4_x0009_31,278_x0009_-_x0009_-_x000a_Yanbu Workshop_x0009_56_x0009_31,906_x0009_1_x0009_4,096_x0009_-_x0009_-_x0009_-_x0009__x000a_Total_x0009_35,982_x0009_12,299,206_x0009_173_x0009_845,552_x0009_64_x0009_476,826_x0009_25_x0009_432,570_x000a_      *Routine services from network workshops excluded"/>
    <s v="•_x0009_Revise the authority matrix for the Maintenance Department to clearly define roles, approval levels, and monetary thresholds should be in accordance with the current business requirements._x000a_•_x0009_Automate controls within maintenance management systems (e.g., restrict approvals in the system based on role/limit)._x000a_•_x0009_Communicate with all maintenance personnel the updated matrix and reinforce compliance_x000a_•_x0009_Establish a periodic review to ensure ongoing relevance and enforcement of the matrix."/>
    <s v="High"/>
    <s v="Authority Matrix"/>
    <s v="Maintenance Manager"/>
    <d v="2025-09-30T00:00:00"/>
    <m/>
    <s v="Closed"/>
    <s v="-"/>
    <s v="Closed"/>
    <s v="The Maintenance Department will revise the current authority matrix &amp; will seek approval from higher management and implement accordingly. The existing approval levels and monetary thresholds will be reduced for Regional/Branch Supervisor. "/>
  </r>
  <r>
    <n v="271"/>
    <s v="BTC"/>
    <n v="2025"/>
    <s v="Maintenance"/>
    <s v="Asset management"/>
    <s v="Weaknesses in Maintenance Contract Governance"/>
    <s v="Workshop &amp; Supplier contracts are important to achieve a better quality of service, competitive prices, and most suitable credit terms. During review of active contracts of 41 workshops and 10 Suppliers as of December 2024, the following discrepancies were observed and noted:_x000a__x000a_•_x0009_10 out of 41 workshops had no contracts. Only rate card available_x000a_•_x0009_20 out of 41 available workshop contracts had no price list/Rate Card._x000a_•_x0009_3 out of 41 available workshop contracts were not vetted by the legal department._x000a_•_x0009_12 out of 41 workshop contracts do not have warranty clauses for repeated jobs._x000a_•_x0009_19 out of 51 workshops &amp; suppliers’ contracts are outdated/expired._x000a_•_x0009_1 out of 51 available contracts has no credit period mentioned._x000a_•_x0009_8 out of 10 suppliers had no contracts. Only rate card available "/>
    <s v="•_x0009_Develop clear, consistent templates for all contract types (workshop, supplier, service, supply, etc.) to ensure all necessary clauses are included and legal requirements are met_x000a_•_x0009_Immediately initiate the process of formalizing contracts with all workshops and suppliers currently operating only on rate cards_x000a_•_x0009_Amend existing contracts to include clear and comprehensive price lists or rate cards._x000a_•_x0009_Establish a mandatory policy that all contracts, regardless of value or type, must be vetted and approved by the legal department before execution_x000a_•_x0009_Implement an automated alert system to notify relevant stakeholders well in advance of contract expiration dates"/>
    <s v="High"/>
    <s v="Operation"/>
    <s v="Maintenance Manager"/>
    <d v="2025-09-30T00:00:00"/>
    <d v="2025-09-30T00:00:00"/>
    <s v="Open Due"/>
    <n v="273"/>
    <s v="Less than 1 Year"/>
    <s v="All contracts are handled by the legal department, and we have approved fixed prices for all repairs. The contracts with notes will be reviewed and provided soon."/>
  </r>
  <r>
    <n v="272"/>
    <s v="BTC"/>
    <n v="2025"/>
    <s v="Maintenance"/>
    <s v="Asset management"/>
    <s v="Lack of Systematic Evaluation of Third-Party Workshop Performance"/>
    <s v="During the audit review, it was noted that Maintenance department had not monitoring the performance of the contracted workshops. Evaluation criteria such as:_x000a_•_x0009_Quality of job performed_x000a_•_x0009_Repeat cases_x000a_•_x0009_Turnaround time for repairs_x000a_•_x0009_Space &amp; infrastructure availability_x000a_•_x0009_Availability of skilled technicians_x000a_•_x0009_Cost effectiveness_x000a_It was also noted that there is performance review/evaluation checklist, but no formal vendor evaluation performed for third-party workshops during the year 2024."/>
    <s v="•_x0009_Management should measure efficiency of the Workshops like vehicle repeat jobs, any damages during repair, quality of work done, turnaround time for repair, cleanliness, etc._x000a_•_x0009_Conducting evaluation of workshops in the maintenance and repair of company’s vehicles as a means of assessing their capacities and efficiencies_x000a_•_x0009_Inspection visits to be conducted in workshops to check how the company’s vehicles are maintained"/>
    <s v="High"/>
    <s v="Operation"/>
    <s v="Maintenance Manager"/>
    <d v="2025-09-30T00:00:00"/>
    <d v="2025-09-30T00:00:00"/>
    <s v="Open Due"/>
    <n v="273"/>
    <s v="Less than 1 Year"/>
    <s v="The maintenance Department will visit all active workshops and re-evaluate as needed."/>
  </r>
  <r>
    <n v="273"/>
    <s v="BTC"/>
    <n v="2025"/>
    <s v="Maintenance"/>
    <s v="Asset management"/>
    <s v="No integration between Fleet Express/CarPro and Dynamics"/>
    <s v="There is currently no system integration between Fleet Express/CarPro and Microsoft Dynamics. Data is transferred manually between the platforms, increasing the risk of errors, delays, and inefficiencies."/>
    <s v="•_x0009_Implement system integration between Fleet Express/CarPro and Microsoft Dynamics to enable seamless data flow, reduce manual intervention, and enhance accuracy and efficiency in operations."/>
    <s v="High"/>
    <s v="System &amp; Application"/>
    <s v="Maintenance Manager"/>
    <d v="2025-09-30T00:00:00"/>
    <m/>
    <s v="Closed"/>
    <s v="-"/>
    <s v="Closed"/>
    <s v="As of 6/7/2025, the (Fleet Express) program has been officially activated, and the Car Pro program has been closed. Currently integration process between Fleet express and dynamics has been activated."/>
  </r>
  <r>
    <n v="274"/>
    <s v="BTC"/>
    <n v="2025"/>
    <s v="Maintenance"/>
    <s v="Asset management"/>
    <s v="Continued Reliance on Legacy System Hinders Integrated Fleet Management"/>
    <s v="The Maintenance Department continues to use the legacy CarPro system instead of the newly implemented Fleet Express system. Despite the organization's migration to Fleet Express, the department has not transitioned, resulting in fragmented processes and data isolations. _x000a_Furthermore, it was noted that Labor costs for in-house workshops were not charged to vehicle repairs."/>
    <s v="•_x0009_Enforce full-fledge adoption and usage of Fleet Express within the Maintenance Department by providing necessary training, support, and system configuration tailored to their needs. _x000a_•_x0009_Phase out the use of CarPro to ensure consistency, data integrity, and improved overall operational efficiency."/>
    <s v="High"/>
    <s v="System &amp; Application"/>
    <s v="Maintenance Manager"/>
    <d v="2025-09-30T00:00:00"/>
    <m/>
    <s v="Closed"/>
    <s v="-"/>
    <s v="Closed"/>
    <s v="CarPro has been officially discontinued now. Currently we are fully operational on Fleet Express and Labor cost will be applied accordingly. _x000a_CarPro is used only to review and verify historical records of maintenance."/>
  </r>
  <r>
    <n v="275"/>
    <s v="BTC"/>
    <n v="2025"/>
    <s v="Maintenance"/>
    <s v="Asset management"/>
    <s v="No approved succession plan for Maintenance department"/>
    <s v="The organization currently lacks a formal succession planning process for key leadership and critical operational roles in Maintenance department. There is no documented framework or strategy in place for key positions in the event of retirement, resignation, or unexpected vacancy."/>
    <s v="•_x0009_Management should identify key roles and potential successors based on competency levels for succession planning, get it approved as per authority matrix, and communicate it to the staff"/>
    <s v="High"/>
    <s v="Org. structur, JD &amp; KPI's"/>
    <s v="Maintenance Manager"/>
    <d v="2025-09-30T00:00:00"/>
    <d v="2025-09-30T00:00:00"/>
    <s v="Open Due"/>
    <n v="273"/>
    <s v="Less than 1 Year"/>
    <s v="We will coordinate with HR to genuinely look into the matter and provide succession plan for at least key positions."/>
  </r>
  <r>
    <n v="276"/>
    <s v="BTC"/>
    <n v="2025"/>
    <s v="Maintenance"/>
    <s v="Asset management"/>
    <s v="Weakness surrounding Scrap materials handling and Sales"/>
    <s v="During audit review, it was revealed that there is no formal mechanism to record, store and dispose of or sale of scrap materials. These materials include damaged vehicle parts (bumpers, tires, batteries, mirrors, etc.) removed during repairs or maintenance is not being adequately tracked &amp; controlled."/>
    <s v="•_x0009_Maintain a Scrap Register which includes part type, quantity, vehicle reference, removal date, and disposal method/value._x000a_•_x0009_Assign responsibility to designate personnel for monitoring and authorizing scrap movements."/>
    <s v="Medium"/>
    <s v="Operation"/>
    <s v="Maintenance Manager"/>
    <d v="2025-09-30T00:00:00"/>
    <d v="2025-09-30T00:00:00"/>
    <s v="Open Due"/>
    <n v="273"/>
    <s v="Less than 1 Year"/>
    <s v="We cannot sell scrap this is against the regulations of the state represented by the Ministry of Environment. The company is required to engage in contracts with suppliers approved by the Ministry of Environment for waste disposal. In our case we sell scrap from local suppliers after collecting three price quotes and approving the sale at the highest price. However, we will start maintaining the log file centrally for all scrap sales in Riyadh and going forward will maintain for Jeddah &amp; Khobar for BTC workshops."/>
  </r>
  <r>
    <n v="277"/>
    <s v="BTC"/>
    <n v="2025"/>
    <s v="Maintenance"/>
    <s v="Asset management"/>
    <s v="Absence of customer feedback mechanism"/>
    <s v="The audit noted that there is no formal process to collect customer feedback specifically related to vehicle condition and performance following maintenance or repair activities. Customers are not prompted to report their experience regarding issues such as noise, comfort, mechanical performance, cleanliness, or persistent faults after receiving a serviced vehicle._x000a__x000a_Currently, customer remarks on post-repair performance are captured only if volunteered verbally or via complaints, with no structured tracking or follow-up system in place."/>
    <s v="•_x0009_Implement a structured post-maintenance feedback process, such as automated SMS/email surveys sent 24–48 hours after vehicle handover._x000a_•_x0009_Design a short feedback form focused on vehicle condition, cleanliness, comfort, and performance._x000a_•_x0009_Integrate feedback tracking into the maintenance management system, allowing for linking feedback to specific work orders or job cards._x000a_•_x0009_Assign responsibility to the maintenance or quality team for reviewing and acting on feedback received._x000a_•_x0009_Analyze feedback regularly to identify recurring issues or trends related to specific workshops, technicians, or vehicle models._x000a_•_x0009_Include customer feedback in vendor evaluation (for outsourced repairs) and internal performance assessments."/>
    <s v="Medium"/>
    <s v="Operation"/>
    <s v="Maintenance Manager"/>
    <d v="2025-09-30T00:00:00"/>
    <d v="2025-09-30T00:00:00"/>
    <s v="Open Due"/>
    <n v="273"/>
    <s v="Less than 1 Year"/>
    <s v="We are currently developing this with the IT department so that the customer is notified immediately upon the completion of the car repair through SMS, and it will also require to provide his feedback about the services provided like repairs, customer service, amenities and his overall experience."/>
  </r>
  <r>
    <n v="278"/>
    <s v="BTC"/>
    <n v="2025"/>
    <s v="HR"/>
    <s v="Hire to Retire"/>
    <s v="Absence of HR Budget and Variance Analysis "/>
    <s v="It was noted that the BTC does not prepare and monitor a formal HR budget and there is no practice of conducting variance analysis on HR-related expenditures. Key HR cost elements such as salaries, overtime, recruitment, training, employee benefits, and staff welfare are recorded, but not planned or monitored against a budget. "/>
    <s v="Develop and monitor a formal HR budget covering all people-related cost categories (e.g., salaries, overtime, recruitment, training, benefits, welfare). _x000a__x000a_Introduce a monthly/quarterly variance analysis comparing actual HR costs with budgeted amounts, supported by explanations for major variances. _x000a__x000a_Integrate HR budgeting into the overall business planning process to ensure alignment with operational and financial objectives. _x000a__x000a_Provide periodic HR costs and variance reports to management and the board for informed decision-making. _x000a__x000a_Utilize HR and finance systems to automate tracking, reporting, and variance monitoring for accuracy and efficiency. "/>
    <s v="High"/>
    <s v="Operation"/>
    <s v="HR &amp; Admin Manager "/>
    <d v="2026-03-31T00:00:00"/>
    <d v="2026-03-31T00:00:00"/>
    <s v="Open Due"/>
    <n v="91"/>
    <s v="Less than/upto 3 Months"/>
    <s v="We will coordinate with Finance department for the preparation of budgets for 2026 and variance analysis will be performed accordingly. "/>
  </r>
  <r>
    <n v="279"/>
    <s v="BTC"/>
    <n v="2025"/>
    <s v="HR"/>
    <s v="Hire to Retire"/>
    <s v="Absence of Approved Manpower Plan Aligned with Company Goals "/>
    <s v="The Company does not have a formal manpower planning process linked to its strategic and operational goals. Staffing decisions are largely reactive (e.g., filling vacancies only when they arise) rather than proactive based on business growth, seasonal demand, or future fleet expansion. No documented workforce plan exists that aligns the number and skills of employees with company objectives. "/>
    <s v="Develop a formal manpower plan aligned with company goals, fleet expansion, and seasonal business cycles. _x000a__x000a_Conduct an annual workforce forecast to identify gaps in headcount, roles, and skill sets. _x000a__x000a_Integrate manpower planning with HR budget and recruitment plans. _x000a__x000a_Establish clear communication between HR, operations, and finance to ensure workforce needs are discussed during strategic planning. _x000a__x000a_Monitor manpower KPIs (e.g., staff-to-fleet ratio, overtime trends, turnover rates) to refine future planning. "/>
    <s v="High"/>
    <s v="Operation"/>
    <s v="HR &amp; Admin Manager "/>
    <d v="2026-03-31T00:00:00"/>
    <d v="2026-03-31T00:00:00"/>
    <s v="Open Due"/>
    <n v="91"/>
    <s v="Less than/upto 3 Months"/>
    <s v="Process for 2026 Manpower Budget has already been initiated, and communication has been made with all departments to develop comprehensive manpower plan aligned with departmental and organizational goals. _x000a__x000a_One-on-one discussions with each Department Head are currently underway to review, validate, and finalize their respective manpower requirements. _x000a__x000a_Prepare annual manpower forecast to identify staffing needs, replacements, and anticipated expansions. _x000a__x000a_Integrate the manpower plan with the annual budget process to ensure proper financial alignment. "/>
  </r>
  <r>
    <n v="280"/>
    <s v="BTC"/>
    <n v="2025"/>
    <s v="HR"/>
    <s v="Hire to Retire"/>
    <s v="Prolonged Delay in Filling Key Strategic Positions "/>
    <s v="It was observed that certain key management &amp; operational positions within the Company like COO, Sales Manager, Business Development Manager, IT Manager, Marketing Manager etc. have remained vacant for an extended period. The responsibilities of these roles are either being temporarily handled by existing staff in addition to their core duties or left unattended. "/>
    <s v="Expedite the recruitment process for filling key vacant position(s) in line with approved manpower plans. _x000a__x000a_Establish a succession planning framework to ensure continuity in critical roles. _x000a__x000a_Implement an interim responsibility assignment with clear accountability until the position is filled. _x000a__x000a_Regularly review the status of critical vacancies in management meetings to avoid prolonged delays. _x000a__x000a_Align HR recruitment priorities with business risk and operational needs. "/>
    <s v="High"/>
    <s v="Operation"/>
    <s v="HR &amp; Admin Manager "/>
    <d v="2026-03-31T00:00:00"/>
    <d v="2026-03-31T00:00:00"/>
    <s v="Open Due"/>
    <n v="91"/>
    <s v="Less than/upto 3 Months"/>
    <s v="As per instructions from AAGH Group, hiring these positions is under consideration and managed by Group higher management. "/>
  </r>
  <r>
    <n v="281"/>
    <s v="BTC"/>
    <n v="2025"/>
    <s v="HR"/>
    <s v="Hire to Retire"/>
    <s v="Non-Implementation of New HR Policy &amp; Procedures "/>
    <s v="During the audit of the HR &amp; Admin function, it was observed that the newly approved Human Resources Policy &amp; Procedures, dated 30-June-2025, has not been implemented across department processes and sub-processes. Despite formal issuance of the policy, operational teams continue to follow the previous practices. _x000a__x000a_As per the newly approved HR Policy, it was observed that significant areas &amp; processes are not implemented like: _x000a__x000a_SWOT Analysis _x000a_Manpower Planning _x000a_Sponsorship Transfer Deadline _x000a_Annual Air Ticket Allowance Process _x000a_Medical Insurance Process"/>
    <s v="Management should ensure to implement on immediate basis and ensure: _x000a__x000a_Communicate the HR Policy to all concerned stakeholders formally. _x000a__x000a_Conduct appropriate training sessions for respective teams. _x000a__x000a_Ensure all system parameters are aligned with the policy &amp; procedures. _x000a__x000a_Implement monitoring controls to track compliance. _x000a__x000a_Enforce accountability for policy violations through defined escalation procedures. "/>
    <s v="High"/>
    <s v="Policies &amp; Procedures"/>
    <s v="HR &amp; Admin Manager "/>
    <d v="2026-03-31T00:00:00"/>
    <d v="2026-03-31T00:00:00"/>
    <s v="Open Due"/>
    <n v="91"/>
    <s v="Less than/upto 3 Months"/>
    <s v="Department has already started implementation of the new policy in certain areas of operation. Department is working in remaining areas for implementation we will streamline all the processes of HR as per new policy accordingly. "/>
  </r>
  <r>
    <n v="282"/>
    <s v="BTC"/>
    <n v="2025"/>
    <s v="HR"/>
    <s v="Hire to Retire"/>
    <s v="Lack of Segregation of Duties in Microsoft Dynamics – HR Module "/>
    <s v="Access management challenges are multifaceted, requiring organizations to address a range of issues to ensure secure and efficient access control. During review of access rights for HR module, it was noted that: _x000a__x000a_ Finance Manager has access to &quot; Payroll (ME) Manager: and “Payroll Manager &quot; role in the HR module. _x000a__x000a_IT technical support personnels Emp # 99315 &amp; 99752 have view access to HR module by their roles as System Administrator. _x000a__x000a_HR personnels Emp # 99699 &amp; 95565 have access to create or modify employee records and process payroll-related transactions"/>
    <s v="Review and redesign user roles in Microsoft Dynamics HR module to ensure appropriate segregation of duties. _x000a__x000a_Implement Role-Based Access Control (RBAC): Ensure access is granted based on job roles and responsibilities, with the principle of least privilege. _x000a__x000a_Implement preventive controls (e.g., role-based access restrictions, system-enforced SoD rules) and detective controls (e.g., periodic monitoring, exception reports). _x000a__x000a_Conduct periodic access reviews to ensure that users are still appropriate, especially after role changes or terminations. _x000a__x000a_Enforce Segregation of Duties principles to prevent conflicts of interests _x000a__x000a_Establish compensating controls where technical segregation is not feasible, such as independent supervisory review and approval. "/>
    <s v="High"/>
    <s v="System &amp; Application"/>
    <s v="HR &amp; Admin Manager "/>
    <d v="2025-12-31T00:00:00"/>
    <d v="2025-12-31T00:00:00"/>
    <s v="Open Due"/>
    <n v="181"/>
    <s v="Less than 6 Months"/>
    <s v="We will discuss this with IT team and modify the access rights as recommended. "/>
  </r>
  <r>
    <n v="283"/>
    <s v="BTC"/>
    <n v="2025"/>
    <s v="HR"/>
    <s v="Hire to Retire"/>
    <s v="Discrepancies in Annual Air Ticket Entitlements in HR Records "/>
    <s v="HR Travel desk process contractual air tickets for eligible employees based on their approved employee contract (eligibility: return air tickets for family status with spouse and up to two children residing in the Kingdom under their sponsorship, with validity linked to end-of-contract or 1 return ticket for single status employees). _x000a__x000a_During the review of employee air ticket entitlement records, it was noted that the Dynamics system reflects higher eligible tickets than employees are entitled to as per company policy and employment contracts. For some employees, ticket balances were overstated due to: _x000a__x000a_Failure to update records after ticket issuance/usage. _x000a__x000a_Incorrect setting of eligibility rules in the system (e.g., additional/deletion of dependents) _x000a__x000a_Manual errors in recording and carrying forward balances’ year-on-year. _x000a__x000a_ _x000a__x000a_This results in employees appearing eligible for more tickets than they should receive, creating a risk of over-issuance. "/>
    <s v="Immediately review and correct all employee ticket entitlement balances in the system. _x000a__x000a_Configure Dynamics system to automatically deduct tickets upon issuance and restrict dependents strictly as per policy. _x000a__x000a_Perform periodic (e.g., quarterly) reconciliation of entitlement balances against actual tickets issued and vendor invoices. _x000a__x000a_Implement mandatory review and approval of all entitlement adjustments by HR management. _x000a__x000a_Maintain proper supporting documents (e-tickets &amp; approval forms) for all travel entries. _x000a__x000a_Periodic review should be performed to ensure entitlement accuracy and ensure policy compliance. "/>
    <s v="High"/>
    <s v="Operation"/>
    <s v="HR &amp; Admin Manager "/>
    <d v="2026-03-31T00:00:00"/>
    <d v="2026-03-31T00:00:00"/>
    <s v="Open Due"/>
    <n v="91"/>
    <s v="Less than/upto 3 Months"/>
    <s v="Currently new system MenaME is under finalization and implementation. This issue will be resolved. "/>
  </r>
  <r>
    <n v="284"/>
    <s v="BTC"/>
    <n v="2025"/>
    <s v="HR"/>
    <s v="Hire to Retire"/>
    <s v="Non-Compliance With Leave Policy "/>
    <s v="As per leave policy, “Annual leaves cannot be postponed or carried over to the following year except in specific cases, where HR being the sole authority to make such decisions:  _x000a__x000a_Leave may be postponed upon the employee’s request, provided the employer gives written consent. _x000a__x000a_Leave may be postponed if work circumstances require it, for a period not exceeding 90 days without the need for the employee’s consent.  _x000a__x000a_If the postponement exceeds this period, written approval from the employee must be obtained. _x000a__x000a_ _x000a__x000a_By reviewing the leave balance as of August 2025, we noted that: _x000a__x000a_3 employees with balances exceeding 120 days and less than 180 days _x000a__x000a_4 employees with leave balances exceed 180 days. "/>
    <s v="Establish clear procedures for managing excessive leave balances and implement necessary processes to prevent further accumulation. _x000a__x000a_Regular tracking and reporting of leave balances, with automated alerts for employees and their managers when balances exceed predefined thresholds. "/>
    <s v="Medium"/>
    <s v="Policies &amp; Procedures"/>
    <s v="HR &amp; Admin Manager "/>
    <d v="2026-03-31T00:00:00"/>
    <d v="2026-03-31T00:00:00"/>
    <s v="Open Due"/>
    <n v="91"/>
    <s v="Less than/upto 3 Months"/>
    <s v="In certain scenarios, due to work need &amp; no replacement available, the number of leaves is high based on dept. manager’s decision. However, HR is already coordinating with department managers to plan vacations for these employees.  _x000a__x000a_In addition to that, HR dept has already started preparation of annual vacation plan for 2026 in coordination with the department heads. "/>
  </r>
  <r>
    <n v="285"/>
    <s v="BTC"/>
    <n v="2025"/>
    <s v="HR"/>
    <s v="Hire to Retire"/>
    <s v="Discrepancies identified in employee files "/>
    <s v="During review of employee’s files, the following discrepancies (missing documents) were noted: "/>
    <s v="Develop comprehensive checklist for employee file documentation. _x000a__x000a_All documents in files should be chronologically ordered. _x000a__x000a_Employee files should be properly reviewed for completeness on a regular basis. "/>
    <s v="Medium"/>
    <s v="Operation"/>
    <s v="HR &amp; Admin Manager "/>
    <d v="2026-03-31T00:00:00"/>
    <d v="2026-03-31T00:00:00"/>
    <s v="Open Due"/>
    <n v="91"/>
    <s v="Less than/upto 3 Months"/>
    <s v="As per new system MenaME, all required/recommended documents were configured in system with mandatory/optional criteria. We will also coordinate with IT for system reports related to required/available documents in the employee file "/>
  </r>
  <r>
    <n v="286"/>
    <s v="BTC"/>
    <n v="2025"/>
    <s v="HR"/>
    <s v="Hire to Retire"/>
    <s v="Discrepancies Noted in Employees' Insurance Coverage "/>
    <s v="During the review of insurance policy 2025, it was noted that employees who are in inactive status as of September 2025 such as those who have resigned, completed their final exit formalities, change employer, or whose dependents are on final exit continue to have active medical insurance policies under the company’s health coverage scheme. _x000a__x000a_Hence, there is unnecessary financial burden of insurance premiums for these members amounting to SAR 56,052 on BTC &amp; possibility of potential misuse of medical benefits. _x000a__x000a_ "/>
    <s v="Establish a formal process and timeline for notifying the insurance provider immediately when employees resign, complete final exit, or transfer sponsorship, including their dependents. _x000a__x000a_Implement system-based automated controls to ensure deactivation of insurance coverage upon employee separation. _x000a__x000a_Conduct monthly/quarterly reconciliation between HR records and active insurance policy enrollments. _x000a__x000a_Strengthen oversight and monitoring mechanisms to ensure that only eligible employees and dependents remain covered. "/>
    <s v="Medium"/>
    <s v="Operation"/>
    <s v="HR &amp; Admin Manager "/>
    <d v="2026-03-31T00:00:00"/>
    <d v="2026-03-31T00:00:00"/>
    <s v="Open Due"/>
    <n v="91"/>
    <s v="Less than/upto 3 Months"/>
    <s v="All highlighted cases have been deleted from Insurance policy and going forward we will start monitoring the insurance deletion cases on periodic basis. "/>
  </r>
  <r>
    <n v="287"/>
    <s v="BTC"/>
    <n v="2025"/>
    <s v="HR"/>
    <s v="Hire to Retire"/>
    <s v="Lack of an Updated Master Database for Employee and Dependent Insurance Enrollment "/>
    <s v="It was noted that the BTC does not maintain a centralized and updated master database to record and track all additions and deletions of employees and their dependents in relation to medical insurance. Changes are communicated on an ad-hoc basis to the insurance provider without maintaining a documented trail in the Company’s internal records. "/>
    <s v="Establish and maintain a centralized master database of all insured employees and their dependents. _x000a__x000a_Record all additions and deletions promptly with proper supporting documents (e.g., joining form, exit clearance, dependent documents). _x000a__x000a_Perform monthly reconciliations between HR records, payroll, and insurance provider records. _x000a__x000a_Assign ownership and accountability to HR/Local Insurance Administration for updating and safeguarding the master file. _x000a__x000a_Implement maker-checker controls to ensure all updates are reviewed and approved before submission to the insurer. _x000a__x000a_Real-time employee data from GOSI &amp; Muqeem should be considered while new policy enrollments. _x000a__x000a_Digitize the process where possible (integrating Dynamics and insurance portal) to reduce manual errors. "/>
    <s v="Medium"/>
    <s v="Operation"/>
    <s v="HR &amp; Admin Manager "/>
    <d v="2026-03-31T00:00:00"/>
    <d v="2026-03-31T00:00:00"/>
    <s v="Open Due"/>
    <n v="91"/>
    <s v="Less than/upto 3 Months"/>
    <s v="Implementation of new system MenaME, all medical insurance related data is recorded and related reports have been designed for monitoring. "/>
  </r>
  <r>
    <n v="288"/>
    <s v="BTC"/>
    <n v="2025"/>
    <s v="HR"/>
    <s v="Hire to Retire"/>
    <s v="Non-Compliance with Procurement Policy and Absence of Multiple Quotations "/>
    <s v="During our review of petty cash expenses, it was noted that the following works were carried out by Al Qahtani Decoration &amp; General Contracting at the Riyadh workshop (Exit 17) dated 24-Nov-2024 amounting to SAR 10,530, without obtaining multiple quotations or conducting a competitive price comparison. _x000a__x000a_It was also noted that all these activities were performed on same dates with same vendor and on same location but with splitting invoices. "/>
    <s v="Ensure that multiple quotations are obtained and documented for all future transactions exceeding the threshold limit. _x000a__x000a_In cases of urgency or sole-source, appropriate justification and approval should be documented and retained. _x000a__x000a_Facility team should be reminded of compliance requirements and periodic monitoring should be performed. "/>
    <s v="Medium"/>
    <s v="Operation"/>
    <s v="HR &amp; Admin Manager "/>
    <s v="CLOSED"/>
    <s v="-"/>
    <s v="Closed"/>
    <s v="-"/>
    <s v="Closed"/>
    <s v="This case is related to emergency for new workshop opening on target date and exceptionally approved by CEO. Going forward we will seek multiple quotes as per the approved policy. "/>
  </r>
  <r>
    <n v="289"/>
    <s v="BTC"/>
    <n v="2025"/>
    <s v="HR"/>
    <s v="Hire to Retire"/>
    <s v="Absence of Air Tickets Vendors Comparative Offers &amp; System Integration "/>
    <s v="During the review of the air tickets booking and travel arrangements process, it was noted that the HR/Travel Department is not obtaining comparative offers from multiple approved vendors prior to confirming ticket issuance. Instead, reliance is primarily placed on a single vendor (or platform, e.g., Almosafer), without documented evidence of market testing or rate comparison. This limits transparency in vendor selection and may result in non-competitive pricing. _x000a__x000a_Additionally, it was observed that the current ERP/HR system is not integrated with travel booking platforms or vendor portals. All booking requests, quotations, and approvals are processed manually through emails and spreadsheets, increasing the risk of errors, delays, duplicate bookings, and lack of proper audit trail. "/>
    <s v="Based on Clause # 4.3.2.5.1 Annual Vacation Tickets Allowance of approved BTC HR Policy dated 30.06.2025, all allowance shall be disbursed in cash only. _x000a__x000a_Any exceptions to the clause require approval from DSS (Director Shared Services) "/>
    <s v="Medium"/>
    <s v="Operation"/>
    <s v="HR &amp; Admin Manager "/>
    <d v="2025-12-31T00:00:00"/>
    <d v="2025-12-31T00:00:00"/>
    <s v="Open Due"/>
    <n v="181"/>
    <s v="Less than 6 Months"/>
    <s v="Department is working on implementation, recommended process will be streamline as per new policy accordingly. "/>
  </r>
  <r>
    <n v="290"/>
    <s v="BTC"/>
    <n v="2025"/>
    <s v="HR"/>
    <s v="Hire to Retire"/>
    <s v="Lack of Defined Management and Recording Process for Telecommunication Assets "/>
    <s v="t was observed that the BTC Facility Department does not have a defined mechanism or centralized system to record, monitor, and control information related to office telephone lines, data lines, and portable routers. _x000a__x000a_Currently, there are approximately 66 active connectivity lines incurring monthly payments ranging between SAR 32,000 and SAR 35,000. However, key details such as ownership of SIMs/routers, activation and deactivation records, monthly billing information, assigned users, data package details, and device issuance approvals are not maintained or readily available with the Admin/Facility Department."/>
    <s v="Establish a defined mechanism (Telecom Asset &amp; Line Register/Software) for recording and monitoring all telephones, data lines, and portable routers. _x000a__x000a_The register should include line/device numbers, assigned users, billing details, package/plan details, contract terms, issuance/return records, and status (active/inactive). _x000a__x000a_Assign clear responsibility to Facility/IT/Finance for maintaining and periodically updating records. _x000a__x000a_Conduct periodic reconciliation of telecom expenses with actual usage and service provider bills. _x000a__x000a_Implement controls for authorization of new connections, periodic review of usage, and deactivation of unused lines. "/>
    <s v="Medium"/>
    <s v="Operation"/>
    <s v="HR &amp; Admin Manager "/>
    <d v="2026-03-31T00:00:00"/>
    <d v="2026-03-31T00:00:00"/>
    <s v="Open Due"/>
    <n v="91"/>
    <s v="Less than/upto 3 Months"/>
    <s v="Facility department will create telecom register &amp; assign owners and reconcile on quarterly basis. "/>
  </r>
  <r>
    <n v="291"/>
    <s v="BTC"/>
    <n v="2025"/>
    <s v="HR"/>
    <s v="Hire to Retire"/>
    <s v="Ineffective Management of BTC Leased and Rented Properties "/>
    <s v="It was noted that the BTC Facility department does not have a defined mechanism or centralized system for recording details of rented/leased buildings and properties. Key information such as department owners, status of usage (in use/vacant), security deposits, escalation clauses, and termination conditions are not properly documented, tracked, or updated. Records are maintained inconsistently in excel sheets and in some cases are incomplete or not available."/>
    <s v="Develop and implement a defined mechanism for systematically recording and monitoring all rented/leased buildings and properties. _x000a__x000a_Ensure that the register includes agreement details, tenure, renewal/expiry dates, rental amounts, escalation clauses, and deposit information. _x000a__x000a_Assign responsibility to designated department/personnel (e.g., Admin/Facility) for maintaining and updating lease records. _x000a__x000a_Establish periodic review and reconciliation between Facility &amp; Finance department. _x000a__x000a_Automate alerts/reminders for renewals, rent escalation, and contract expiry. "/>
    <s v="Medium"/>
    <s v="Operation"/>
    <s v="HR &amp; Admin Manager "/>
    <d v="2026-06-30T00:00:00"/>
    <d v="2026-06-30T00:00:00"/>
    <s v="Open Due"/>
    <n v="0"/>
    <s v="Less than/upto 3 Months"/>
    <s v="Facility department will create property register, review and monitor on quarterly basis. "/>
  </r>
  <r>
    <n v="292"/>
    <s v="BTC"/>
    <n v="2025"/>
    <s v="Lease Sales and Business Development"/>
    <s v="Lead to Collection"/>
    <s v="Non-Implementation of newly approved Business Development Policy &amp; Procedures"/>
    <s v="During the audit of the Sales function, it was observed that the newly approved Business Development Policy &amp; Procedures, dated 09-July-2025, has not been implemented across department processes and sub-processes. Despite formal issuance of the policy, sales team continue to follow the previous practices._x000a_Significant areas &amp; processes require immediate implementation are as under: _x000a_•_x0009_Partnership &amp; Relationship Management_x000a_•_x0009_Sales Strategy &amp; Revenue Generation_x000a_•_x0009_Sustainability and ESG Consideration_x000a_•_x0009_Customer Service Standards_x000a_•_x0009_Risk Management and Compliance_x000a_•_x0009_Contract Management_x000a_•_x0009_SWOT Analysis"/>
    <s v="•_x0009_Management should ensure timely and effective implementation of the newly approved Business Development Policy &amp; Procedures._x000a_•_x0009_Rolling out the policy across the Sales function through formal communication, training, and awareness sessions._x000a_•_x0009_Developing an implementation roadmap with clear timelines, responsibilities, and milestones for all key areas._x000a_•_x0009_Updating sales SOPs, workflows, and templates to align with the new policy requirements._x000a_•_x0009_Assigning ownership and accountability for each policy area and incorporating compliance into performance monitoring._x000a_•_x0009_Establishing periodic management review and internal monitoring to ensure sustained adherence to the approved policy."/>
    <s v="High"/>
    <s v="Policies &amp; Procedures"/>
    <s v="Chief Commercial Officer"/>
    <d v="2026-06-30T00:00:00"/>
    <m/>
    <s v="Open Due"/>
    <n v="0"/>
    <s v="Less than/upto 3 Months"/>
    <s v="Management acknowledges the observation and agrees that, although the Business Development Policy &amp; Procedures were formally approved and communicated, full operational integration across Sales processes has not yet been completed to the required standard. Accordingly, a structured implementation plan with clear timelines, defined responsibilities, and measurable milestones will be developed and implemented to ensure full alignment of Sales procedures with the approved policy and its implementation accordingly. Relevant SOPs, workflows, and templates will be updated, and compliance will be incorporated into ongoing performance monitoring"/>
  </r>
  <r>
    <n v="293"/>
    <s v="BTC"/>
    <n v="2025"/>
    <s v="Lease Sales and Business Development"/>
    <s v="Lead to Collection"/>
    <s v="Significant Customer Concentration Risk in Lease Portfolio"/>
    <s v="It was identified that a significant level of customer concentration within the Company’s highly leveraged lease portfolio, where a substantial proportion of lease revenue, outstanding receivables, and deployed fleet is dependent on the limited number of corporate customers. It was observed that top 5 customers comprised 65% of total fleet exposure (i.e. 5865 of 9079 vehicles) with monthly revenue exposure of 72% (i.e. 17.03 million out of 23.63 million)._x000a_In a highly leveraged environment, elevated customer concentration represents a capital-threatening risk. Any adverse event involving a major lease customer—such as early termination, payment default, contract renegotiation, or non-renewal—could result in immediate cash flow disruption, debt service stress, covenant breaches, fleet underutilization, and potential asset impairment."/>
    <s v="•_x0009_Management should urgently establish and obtain Board approval for customer concentration limits specific to lease sales (e.g., maximum exposure per customer based on revenue, fleet count, and contract value). _x000a_•_x0009_A structured lease portfolio diversification strategy should be prepared &amp; implemented, including sector-wise caps, staggered contract tenures, and targeted growth in SMEs and mid-tier corporates._x000a_•_x0009_Thresholds should be reviewed annually and adjusted based on portfolio size, funding structure, and risk appetite._x000a_•_x0009_Quarterly concentration dashboards, stress testing, and early-warning indicators should be reported to Senior Management and the Board."/>
    <s v="High"/>
    <s v="Operation"/>
    <s v="Chief Commercial Officer"/>
    <d v="2026-06-30T00:00:00"/>
    <m/>
    <s v="Open Due"/>
    <n v="0"/>
    <s v="Less than/upto 3 Months"/>
    <s v="Management acknowledges the observation and agrees that the current level of customer concentration, particularly within government contracts, represents a significant portfolio risk._x000a_Accordingly, a structured diversification plan has been initiated to gradually reduce government contract exposure within the fleet over the next 120 days, through targeted expansion into SMEs and mid-tier corporate segments. In addition, internal concentration limits will be defined and monitored to ensure balanced portfolio growth going forward"/>
  </r>
  <r>
    <n v="294"/>
    <s v="BTC"/>
    <n v="2025"/>
    <s v="Lease Sales and Business Development"/>
    <s v="Lead to Collection"/>
    <s v="Inadequate controls over Lease Pricing Calculations"/>
    <s v="During review of pricing model and calculations we noted the following:_x000a_Rentals are calculated including a vehicle base price and flowing additional Pricing factors like:_x000a_•_x0009_Depreciation_x000a_•_x0009_Insurance_x000a_•_x0009_Maintenance_x000a_•_x0009_Financing cost_x000a_•_x0009_G&amp;A_x000a_•_x0009_Residual value assumptions_x000a_•_x0009_Target profit_x000a_1._x0009_It was noted that above pricing factors are not approved and there is no defined process to calculate, standardize/benchmark and document lease pricing factors that are the basis of rental amount calculations._x000a_2._x0009_It was observed that the profit margins &amp; above pricing factors can be changed to determine the targeted rental price of the vehicles without proper written justification to change them. Pricing factors can be manipulated to accommodate the client discount._x000a_3._x0009_It was observed that the lease pricing calculations were performed on manual spreadsheets and not automated yet. Any changes, modifications and subsequent approvals from management were performed on these manual spreadsheets."/>
    <s v="•_x0009_Pricing factors should be benchmarked, approved, and defined in system.  _x000a_•_x0009_Implement a system-driven lease pricing model within Fleet Express that includes all cost and risk components._x000a_•_x0009_Define and approve minimum pricing floors, target margins, and residual value assumptions by vehicle category and customer risk rating._x000a_•_x0009_Required changes in any of the factors must be documented and approved with proper justification."/>
    <s v="High"/>
    <s v="Operation"/>
    <s v="Chief Commercial Officer"/>
    <d v="2026-06-30T00:00:00"/>
    <m/>
    <s v="Open Due"/>
    <n v="0"/>
    <s v="Less than/upto 3 Months"/>
    <s v="Lease pricing is currently determined based on structured commercial considerations, including the nature of the client’s business, order volume, and tender requirements, while ensuring targeted profit margins are maintained to support sustainable profitability._x000a_However, management acknowledges the need to further strengthen formal controls, documentation, and system governance around pricing factors and calculation methodologies to enhance transparency, consistency, and risk mitigation._x000a_Accordingly, the following corrective actions will be implemented:_x000a_•_x0009_Formal standardization and approval of key pricing factors, supported by clear benchmarking methodology._x000a_•_x0009_Definition of minimum pricing floors, approved target margins, and residual value assumptions by vehicle category and customer risk profile._x000a_•_x0009_Mandatory documentation and approval of any pricing exceptions or adjustments with proper business justification._x000a_•_x0009_Gradual automation of the lease pricing model within the system to reduce reliance on manual spreadsheets and improve control integrity."/>
  </r>
  <r>
    <n v="295"/>
    <s v="BTC"/>
    <n v="2025"/>
    <s v="Lease Sales and Business Development"/>
    <s v="Lead to Collection"/>
    <s v="Absence of approved 2025 &amp; 2026 Sales Plan, budgets and strategy"/>
    <s v="During the audit of the Sales function, it was observed that the BTC does not have a formally approved Sales Plan and Sales Budget covering revenue targets, fleet utilization, pricing strategy, and market segment–wise projections (Retail, Corporate, Leasing, Chauffeur, etc.)._x000a_Furthermore, periodic variance analysis comparing actual sales performance against planned targets is not available with Sales function. Sales performance is currently monitored on an ad-hoc basis, primarily through actual revenue reports, without structured comparison to approved budgets."/>
    <s v="•_x0009_Develop a comprehensive annual Sales Plan and Sales Budget, approved by Management covering Revenue targets by business segment, branch, and customer type, Fleet utilization and pricing assumptions &amp; Market share and growth targets._x000a_•_x0009_Implement a monthly and quarterly variance analysis by comparing actual performance against approved budgets, analyze reasons for favorable and unfavorable variances &amp; initiate corrective actions in a timely manner_x000a_•_x0009_Assign clear ownership to Sales Management, with Finance providing independent validation and monitoring. _x000a_•_x0009_Present summarized performance and variance report regularly to Management and the Board."/>
    <s v="High"/>
    <s v="Operation"/>
    <s v="Chief Commercial Officer"/>
    <d v="2026-06-30T00:00:00"/>
    <m/>
    <s v="Open Due"/>
    <n v="0"/>
    <s v="Less than/upto 3 Months"/>
    <s v="Despite existing financing conditions and absence of fully structured and adequately trained sales team challenges, management maintain ambitious growth targets and are actively working on enhancing and restructuring our financing strategies to accommodate clients with order values below the current minimum threshold, without compromising the company’s financial objectives and long-term profitability._x000a_In this context, we are in the process of developing a comprehensive Sales Plan and budgets that include clear targets across all market segments, supported by a recruitment plan to strengthen the sales team in key regions. The plan is expected to be finalized and formally approved within a period not exceeding 90 days._x000a_Further, CCO will personally oversee the implementation and execution of this plan within the defined timeline."/>
  </r>
  <r>
    <n v="296"/>
    <s v="BTC"/>
    <n v="2025"/>
    <s v="Lease Sales and Business Development"/>
    <s v="Lead to Collection"/>
    <s v="Inadequate Sales Staffing for Car Leasing Department"/>
    <s v="During the audit of the Sales function, it was observed that the current sales staffing level is inadequate to effectively manage leasing opportunities, corporate accounts, and ongoing customer relationship requirements. _x000a_•_x0009_No Sales Manager since September 2024 _x000a_•_x0009_No Sales Staff &amp; team available in key locations like Riyadh &amp; Jeddah_x000a_Only 2 active employees (Sales Supervisor &amp; Executive) in whole kingdom are currently stationed at Al Khobar location. _x000a_The existing leasing sales team is responsible for:_x000a_•_x0009_New corporate and government account acquisition_x000a_•_x0009_Contract renewals and extensions_x000a_•_x0009_Client relationship management and service coordination_x000a_•_x0009_Pricing negotiations and proposal submissions_x000a__x000a_However, staffing levels are not aligned with the complexity, volume, and lifecycle management of leasing contracts, resulting in operational strain and limited sales coverage."/>
    <s v="•_x0009_Conduct a leasing sales capacity and workload assessment considering number and size of active lease contracts, renewal pipeline and upcoming expiries &amp; new business targets_x000a_•_x0009_Strengthening the leasing sales team by hiring additional qualified leasing sales professionals or reallocating experienced resources from other locations_x000a_•_x0009_Introduce clear KPIs for leasing sales staff, including new lease contracts secured, renewal success rate, revenue per account &amp; customer retention levels._x000a_•_x0009_Enhance coordination between Sales, Credit, Operations, and Fleet to reduce administrative burden on sales staff."/>
    <s v="High"/>
    <s v="Operation"/>
    <s v="Chief Commercial Officer"/>
    <d v="2026-06-30T00:00:00"/>
    <m/>
    <s v="Open Due"/>
    <n v="0"/>
    <s v="Less than/upto 3 Months"/>
    <s v="A comprehensive assessment of the current Sales Team, which consists of three members, is currently underway to evaluate their capacity to meet operational demands and support the company’s growth and development objectives._x000a_In parallel, a structured plan has been developed to gradually strengthen and complete the sales organization, with the objective of building a fully capable team that provides adequate coverage across key regions and enhances overall sales effectiveness._x000a_From an executive management perspective, we believe that attracting qualified sales talent is a critical driver for improving execution quality, acquiring higher-value clients, and achieving sustainable growth. The evaluation and recruitment plan will be developed and implemented within a period not exceeding 120 days."/>
  </r>
  <r>
    <n v="297"/>
    <s v="BTC"/>
    <n v="2025"/>
    <s v="Lease Sales and Business Development"/>
    <s v="Lead to Collection"/>
    <s v="Absence of Market Research and Competitive Analysis"/>
    <s v="It was observed that Sales department does not perform formal market research or competitive analysis prior to preparing lease proposals and pricing recommendations. During the audit, it was noted that pricing and commercial terms are primarily based on internal assumptions and past deals, without documented analysis of:_x000a_•_x0009_Prevailing market lease rates_x000a_•_x0009_Competitors’ pricing and service offerings_x000a_•_x0009_Market demand trends and customer segments_x000a_•_x0009_New entrants and substitute mobility solutions_x000a_No structured market intelligence reports, competitor benchmarking, or periodic analysis were available for management review."/>
    <s v="Management should establish a formal market research and competitive analysis process, including:_x000a_•_x0009_Periodic collection and analysis of market lease rates and competitor offerings_x000a_•_x0009_Preparation of quarterly market intelligence reports_x000a_•_x0009_Integration of market insights into pricing and proposal approvals_x000a_•_x0009_Assignment of clear ownership within the Pre-Sales or Strategy function"/>
    <s v="Medium"/>
    <s v="Operation"/>
    <s v="Chief Commercial Officer"/>
    <d v="2026-06-30T00:00:00"/>
    <m/>
    <s v="Open Due"/>
    <n v="0"/>
    <s v="Less than/upto 3 Months"/>
    <s v="The implementation of the recommended actions will commence following the completion of the Sales Team structure to ensure proper ownership and execution capacity._x000a_Starting from Q3, the company will initiate structured collection of market lease rates and competitors’ pricing and service offerings. Quarterly market intelligence reports will be prepared and presented to management. The findings will be formally integrated into the pricing and proposal approval process to ensure competitive and well-informed decision-making"/>
  </r>
  <r>
    <n v="298"/>
    <s v="BTC"/>
    <n v="2025"/>
    <s v="Lease Sales and Business Development"/>
    <s v="Lead to Collection"/>
    <s v="Absence of Structured Lead Generation and Customer Acquisition Process"/>
    <s v="During review it was noted that Sales department does not have a structured and formalized lead generation and customer acquisition process for Lease Sales. During the audit, it was observed that:_x000a_•_x0009_No defined strategy exists for generating new leads (digital marketing, corporate outreach, partnerships, referrals, etc.)_x000a_•_x0009_Lead sourcing is largely reactive and relationship-driven and renewing existing customers._x000a_•_x0009_Leads are not systematically captured, tracked, or analyzed through a CRM or centralized lead register_x000a_•_x0009_No documented targets, conversion metrics, or performance monitoring mechanisms were in place_x000a__x000a_As a result, the Pre-Sales pipeline lacks visibility, consistency, and predictability."/>
    <s v="Management should establish a formal lead generation and customer acquisition framework, including:_x000a_•_x0009_Defined lead generation channels (digital, corporate outreach, partnerships, referrals, etc.)_x000a_•_x0009_Mandatory lead logging and tracking through system_x000a_•_x0009_Clear ownership, targets, and KPIs for lead generation and conversion_x000a_•_x0009_Periodic management review of lead pipeline and acquisition performance"/>
    <s v="Medium"/>
    <s v="Operation"/>
    <s v="Chief Commercial Officer"/>
    <d v="2026-06-30T00:00:00"/>
    <m/>
    <s v="Open Due"/>
    <n v="0"/>
    <s v="Less than/upto 3 Months"/>
    <s v="Management acknowledges the importance of having a clear, formalized, and measurable strategy in this area. We are currently working on enhancing and structuring these processes to better align with market requirements and the company’s growth objectives._x000a_Accordingly, we are developing a comprehensive lead generation strategy that will include:_x000a_•_x0009_Digital marketing initiatives_x000a_•_x0009_Strategic partnerships_x000a_•_x0009_Referral programs_x000a_•_x0009_Structured corporate outreach_x000a_1._x0009_All leads will be formally captured, tracked, and monitored through a CRM system to enhance visibility, accountability, and performance analysis._x000a_2._x0009_Clear KPIs are being defined, and specific responsibilities will be assigned to each team member. _x000a_3._x0009_Regular pipeline review meetings will be implemented to assess conversion performance, identify bottlenecks, and address missed opportunities in a timely manner._x000a_4._x0009_The structured framework will be implemented within 120 days, with phased rollout and periodic management review to ensure measurable improvement in sales pipeline visibility and predictability."/>
  </r>
  <r>
    <n v="299"/>
    <s v="BTC"/>
    <n v="2025"/>
    <s v="Used Car Sales"/>
    <s v="Lead to Collection"/>
    <s v="Updated Approved Used Cars Policy &amp; Procedures have not implemented"/>
    <s v="During the audit of the Used Vehicles function, it was observed that the newly approved Used Vehicle Sales Policy, dated 09-July-2025, has not been implemented across department processes and sub-processes. Despite formal issuance of the policy, operational teams continue to follow the previous practices._x000a__x000a_As per the approved Used Cars Policy, it was observed that significant areas &amp; processes are not implemented like:_x000a_•_x0009_Vehicle Evaluation Classification Process._x000a_•_x0009_Bid formation Process._x000a_•_x0009_Potential Sales Channels_x000a_•_x0009_Minimum Selling Pricing Determination Process._x000a_•_x0009_Re-formation of Used vehicle Evaluation Committee_x000a_•_x0009_Bidding Process_x000a_•_x0009_BTC Online Sales Platform _x000a_•_x0009_Vehicle Ownership Transfer Process"/>
    <s v="Management should ensure to implement on immediate basis and ensure:_x000a_•_x0009_Communicate the Used Cars Policy to all concerned stakeholders formally._x000a_•_x0009_Conduct appropriate training sessions for respective teams._x000a_•_x0009_Ensure all system parameters are aligned with the policy &amp; procedures._x000a_•_x0009_Implement monitoring controls to track compliance._x000a_•_x0009_Enforce accountability for policy violations through defined escalation procedures."/>
    <s v="High"/>
    <s v="Policies &amp; Procedures"/>
    <s v="Used Car Manager"/>
    <d v="2026-06-30T00:00:00"/>
    <m/>
    <s v="Open Due"/>
    <n v="0"/>
    <s v="Less than/upto 3 Months"/>
    <s v="•_x0009_Work is currently underway with the relevant departments to provide technicians for conducting technical evaluations of the vehicles._x000a_•_x0009_The bid formation process is based on the available vehicles, and a specific percentage of vehicles for each bid list cannot be guaranteed, in case of any difference between the technical condition percentages shown in the auction list and the percentages approved by the policy, the list will be approved by the Used Sales Committee Chairman (CEO)_x000a_•_x0009_All possible sales channels are currently being utilized, including electronic platforms, auctions, and individual sales._x000a_•_x0009_The matter will be discussed with the CEO to form a vehicles price evaluation committee._x000a_•_x0009_It will be discussed with the Sales Committee to determine the appropriate methods for submitting bids._x000a_•_x0009_There is no proprietary sales platform for &quot;BEST Company&quot;; intermediary platforms are being used for sales. If a dedicated platform is developed for BEST Company, it would require an operational team (technicians, photographers, marketers) as well as a dedicated “IT” team for continuous supervision. Therefore, intermediary platforms are being used for the current period, the platform is not currently operational, and the matter of developing a dedicated platform for BTC to sell the vehicles through it will be discussed with the CEO_x000a_•_x0009_The process of transferring vehicle ownership is being followed up periodically with customers to ensure the transfer is completed within the specified timeframe._x000a_•_x0009_The recommendations will be taken into consideration to avoid potential impacts"/>
  </r>
  <r>
    <n v="300"/>
    <s v="BTC"/>
    <n v="2025"/>
    <s v="Used Car Sales"/>
    <s v="Lead to Collection"/>
    <s v="Significant weakness of Internal Controls in Bidding Processes"/>
    <s v="Our review of the bidding processes &amp; documentation (for the period from July 2023 to June 2025) revealed a sharp and tangible deterioration in fundamental internal controls, exposing the process to significant risks. We noted the following:_x000a_•_x0009_Discontinuation of Sealed Bid Boxes: We noted that the company abandoned its previous good practice of using sealed bid boxes (Tender Boxes). Instead, bids are now being collected manually and directly by the sales department, exposing them to the risks of loss, manipulation, or premature disclosure._x000a_•_x0009_Bids were received openly: and not in sealed envelopes, meaning there is no documented evidence of bid confidentiality._x000a_•_x0009_Lack of a Standardized and Documented Invitation Process: Bidders are invited through decentralized channels (email, WhatsApp, or hand-delivery) without maintaining a unified, official log of these invitations. This practice makes it impossible to verify the fair distribution of invitations and creates opportunities for favoritism._x000a_•_x0009_Limited Publicity Scope: Auctions are not sufficiently advertised on public sales channels (such as online car-selling platforms or social media), which limits the pool of potential bidders and reduces the opportunity to secure the best possible price._x000a_•_x0009_Inadequate representation of technical department: like Operations/Fleet Control in Sale Committee_x000a_•_x0009_Vehicle Assessment process was performed entirely by the Sales Department, with a lack of signatures on inspection forms, due to the absence of a policy mandating the segregation of duties."/>
    <s v="•_x0009_Management must immediately reinstate the use of sealed bid boxes as a fundamental, interim control measure until the automated solution approved in the new policy is implemented._x000a_•_x0009_Bid must be received in sealed envelopes on letterhead signed and stamped._x000a_•_x0009_The current process of issuing delivery notes for Kuwait operations from Riyadh must be stopped immediately._x000a_•_x0009_Bids must be announced publicly by using all the possible channels to maximize number of bidders, and announcement documentation should be part of bidding documentation._x000a_•_x0009_Management must establish a binding and clear timeline for the immediate and full implementation of the auction policy approved in July 2025, including the activation of the automated bidding system, reformation of used car sales committee and vehicle assessment process as described in new policy."/>
    <s v="High"/>
    <s v="Operation"/>
    <s v="Used Car Manager"/>
    <d v="2026-06-30T00:00:00"/>
    <m/>
    <s v="Open Due"/>
    <n v="0"/>
    <s v="Less than/upto 3 Months"/>
    <s v="•_x0009_The previous method of receiving bids from customers has not been stopped, and customers will be reminded of this again. However, this method has met with disapproval from customers, as similar companies use multiple channels to receive prices (email, WhatsApp, etc.) because some clients are in different regions around the Kingdom and unable to deliver envelopes to the head office. Department will implement receiving of bids by close envelope more strictly. And a meeting will be held with the CEO to determine the optimal method for receiving bids._x000a_•_x0009_Bids are currently distributed to customers through self-effort, as there is no marketing department to handle these tasks. However, work is underway to channel bid invitations through the new system instead of the manual paper-based system._x000a_•_x0009_The Operations Manager has been included in the Used Car Sales Committee._x000a_•_x0009_Work is in progress with the departments concerned to provide technicians for conducting the technical evaluation of vehicles._x000a_•_x0009_Regarding vehicles sales in Kuwait, vehicles are actually delivered in Kuwait by project staff, as there is no dedicated used car warehouse in Kuwait. The vehicles are entered into the used car warehouse system in Riyadh; therefore, they are released from the Riyadh warehouse to ensure the monitoring and control process of used cars, which is the sole responsibility of the used sales department._x000a_•_x0009_We in the used sales department work with available resources, similar to practices in comparable companies, while prioritizing the company's reputation and achieving the highest return. We have not received any complaints from the company's customers."/>
  </r>
  <r>
    <n v="301"/>
    <s v="BTC"/>
    <n v="2025"/>
    <s v="Used Car Sales"/>
    <s v="Lead to Collection"/>
    <s v="Delay in Cancellation of Insurance for Sold Vehicles"/>
    <s v="During our review, we noted significant delays in cancelling insurance policies for vehicles after their sale. In multiple cases, insurance coverage remained active for more than one month beyond the actual sale date due to the buyer’s failure to complete the ownership transfer within the prescribed timeframe._x000a_This practice is not compliant with Clause (7) of the Sales Contract, which states: “If the buyer fails to transfer vehicle ownership within the specified period (one month as per policy), the company is entitled to charge the buyer for all insurance-related costs.”_x000a_Due to the failure in enforcing this control, the company incurred additional insurance expenses totaling SAR 128,730, related to 641 vehicles sold for the period from March 2023 to June 2025. These costs were not recovered from the respective customers, resulting in a direct financial loss for the company"/>
    <s v="•_x0009_Coordinate with Finance department to charge and invoice the respective customers for the insurance cost incurred on proportionate basis where ownership is transferred in more than 30 days. _x000a_•_x0009_Used Sales Department must implement a formal, tracked follow-up process. This should include automated reminders to customers and clear accountability assigned to sales staff for ensuring ownership transfer is completed._x000a_•_x0009_Enforce clause (7) of the contract systematically. An automated process should be established to charge insurance costs to the customer's account immediately after the one-month grace period expires._x000a_•_x0009_Link the responsibility for completing post-sale requirements, including ownership transfer follow-up, to the sales team's Key Performance Indicators (KPIs)."/>
    <s v="High"/>
    <s v="Operation"/>
    <s v="Used Car Manager"/>
    <d v="2026-06-30T00:00:00"/>
    <m/>
    <s v="Open Due"/>
    <n v="0"/>
    <s v="Less than/upto 3 Months"/>
    <s v="•_x0009_We would like to clarify that the grace period approved as per the policy for completing the ownership transfer process is 60 days from the date of delivery, and any extension beyond the grace period granted to customers for ownership transfer will be approved by the CEO._x000a_•_x0009_We also confirm that the Used Sales Department follows up with customers during this period and notify them to complete the vehicle ownership transfer. An amount of SAR 85,000 has already been collected from customers who failed to transfer ownership within the permitted timeframe to cover the cost of vehicle insurance, which reduces the financial impact mentioned in your report. Accordingly, the loss indicated in the insurance clause needs to be recalculated based on the correct ownership transfer duration and the amounts collected._x000a_•_x0009_We, as the Used Sales Department management, are working diligently and following up on the vehicle ownership transfer process within the grace period stipulated by the policy without compromising the company's rights. We will implement and monitor it in future more strictly"/>
  </r>
  <r>
    <n v="302"/>
    <s v="BTC"/>
    <n v="2025"/>
    <s v="Used Car Sales"/>
    <s v="Lead to Collection"/>
    <s v="Lack of Historical Vehicle Values or Benchmark Pricing."/>
    <s v="During the review of used vehicle sales for the period from July 2023 to June 2025, a weakness was identified in the process for determining the Minimum Selling Price (MSP). An analysis of sampled sales transactions totaling SAR 67,115,971.15 revealed that 32% of the sample value (SAR 21,448,960) was processed without referencing minimum selling prices, historical vehicle prices or established benchmark prices._x000a_These transactions are made through multiple sales channels - including Bid, Direct Wholesale, and Individual sales -indicating that the issue is not limited to a specific channel."/>
    <s v="•_x0009_Management must ensure the strict and immediate application of the &quot;Minimum Selling Price Determination&quot; as per Section (K3) of new policy, approved in July 2025, to all used vehicle sales transactions._x000a_•_x0009_Sales team and the Used Vehicle Sale Committee must be required to document the basis on which each vehicle's price was determined, retaining supporting evidence (e.g., independent evaluation report, committee meeting minutes) within the transaction file._x000a_•_x0009_Management should conduct periodic reviews of sales transaction samples to ensure compliance with the approved policy and to promptly correct any deviations."/>
    <s v="Medium"/>
    <s v="Operation"/>
    <s v="Used Car Manager"/>
    <d v="2026-06-30T00:00:00"/>
    <m/>
    <s v="Open Due"/>
    <n v="0"/>
    <s v="Less than/upto 3 Months"/>
    <s v="•_x0009_Historical pricing is recorded in transactions when a historical price is available for the same vehicle category within the preceding 3-months period, as vehicle prices are subject to fluctuations during this timeframe. _x000a_•_x0009_The minimum selling price will be determined and selected by the used vehicle evaluation committee as per (section 3) provided in the used vehicle sales policy, all relevant supporting documents will be attached in the transaction with necessary details and justification accordingly."/>
  </r>
  <r>
    <n v="303"/>
    <s v="BTC"/>
    <n v="2025"/>
    <s v="Used Car Sales"/>
    <s v="Lead to Collection"/>
    <s v="Weakness in Used Car Sales Documentation"/>
    <s v="•_x0009_It was noted that department generally relies on manual, paper-based delivery notes for all its transactions. This outdated practice increases the risk of human error, loss of documentation, and creates significant challenges for effective archiving and control._x000a_•_x0009_It was observed that delivery notes for vehicles sold in Kuwait are issued centrally from Riyadh. As a direct result of this ineffective process, we noted that for all reviewed transactions in Kuwait, there is no signed documentation or any form of proof that customers have received their vehicles. _x000a_•_x0009_Absence of Signed Contracts for certain used car sales transactions, sales are executed without signed, legally binding contracts, leaving the business relationship officially undocumented._x000a_•_x0009_&quot;Bid Comparison Sheets&quot; were not prepared, resulting in a lack of objective documentation to justify the selection of the winning bid._x000a_•_x0009_It was noted that copies of payment receipts generated by the financial system were missing, making it difficult to accurately and reliably track and reconcile received payments._x000a_•_x0009_It was noted that no visitor’s register is maintained at the Riyadh vehicle yard. As a result, details of individuals/bidders entering and exiting the facility are not recorded._x000a_•_x0009_No formal customer feedback mechanism or centralized complaint log to capture, monitor, and analyze customer concerns."/>
    <s v="•_x0009_All manual delivery notes must be digitalized. This solution should capture electronic signatures and automatically log in time and date._x000a_•_x0009_The current process of issuing delivery notes for Kuwait operations from Riyadh must be stopped immediately._x000a_•_x0009_Process must be introduced for Kuwait team to issue, complete, and archive delivery documentation locally at the time of handover._x000a_•_x0009_Used car sales contracts must be signed by both parties to avoid legal complications._x000a_•_x0009_Visitor register must be maintained at warehouse._x000a_•_x0009_Payment receipts must be attached with the relevant bidding documents._x000a_•_x0009_Develop customer feedback mechanism and apply accordingly._x000a_•_x0009_Management must establish a binding and clear timeline for the immediate and full implementation of the auction policy approved in July 2025, including the activation of the automated bidding system"/>
    <s v="Medium"/>
    <s v="Operation"/>
    <s v="Used Car Manager"/>
    <d v="2026-06-30T00:00:00"/>
    <m/>
    <s v="Open Due"/>
    <n v="0"/>
    <s v="Less than/upto 3 Months"/>
    <s v="•_x0009_Electronic delivery (e-delivery) will be adopted instead of paper-based documentation for vehicles starting from 2026. Coordination is underway with the IT department to implement this mechanism._x000a_•_x0009_Due to the absence of dedicated Used Sales Department employees in Kuwait, vehicles are delivered there by project operational staff. The delivery note is issued from Riyadh purely as an administrative and organizational procedure, given that the head office is in Riyadh. Coordination is done with the project management to deliver the vehicles to customers in Kuwait, and this procedure entails no financial impact, operational risk, or control risks. Therefore, this action aims solely at organization and coordination between the company's branches._x000a_•_x0009_Emphasis is placed on obtaining customer signatures on the &quot;Sale Approval Authorization,&quot; which includes all vehicle details, selling prices, and fundamental terms and conditions of the sale. It has been standard practice (customary) to issue the sales contract attested by the Chamber of Commerce. Accordingly, starting from 2026, the sales contract will be issued in one copy for the company and an attested copy from the Chamber of Commerce for the customer. This procedure entails no financial impact, operational risk, or risks, and legal department approval has been obtained for the Chamber of Commerce attested sales contract template._x000a_•_x0009_A comparison sheet of prices submitted by customers will be prepared for all bids and shared with the Sales Committee to make the appropriate decision._x000a_•_x0009_All customer payment vouchers for vehicle amounts are shared with the Finance Department, and the Finance Department provides us with confirmation that the amounts have entered the company's account. All these documents will be attached to the sales transactions. _x000a_•_x0009_There are no customer service employees at the warehouse to register visitors and collect customer feedback on the service provided. Coordination is done with the head office for receiving customers at the warehouse. Therefore, we will request the hiring of customer service employees and assigning these tasks to them._x000a_•_x0009_The approved used vehicle sales policy specifies the available sales channels. The selection of the appropriate and effective sales method and mechanism is discussed with the Sales Committee to maximize the company's revenues."/>
  </r>
  <r>
    <n v="304"/>
    <s v="BTC"/>
    <n v="2025"/>
    <s v="Credit"/>
    <s v="Lead to Collection"/>
    <s v="Discrepancies in Customer Files and Supporting Documentation"/>
    <s v="During our review of selected customer credit files (62 samples) within the Lease Sales portfolio, significant discrepancies and inconsistencies were noted in the documentation maintained by the Credit and Sales department. Several customer files were either incomplete, outdated, or contained contradictory information, impairing the reliability and integrity of credit assessments and ongoing portfolio monitoring."/>
    <s v="•_x0009_Implement a mandatory Customer Credit File Checklist covering legal, financial, and security documents as per new policy._x000a_•_x0009_Establish a centralized digital document management system with version control and expiry alerts._x000a_•_x0009_Perform quarterly credit file audits for all active lease customers, especially high-exposure accounts._x000a_•_x0009_Prohibit lease activation, vehicle delivery, or limit enhancement unless all required documents are valid and verified._x000a_•_x0009_Assign Credit Administration ownership for ongoing file completeness and compliance"/>
    <s v="High"/>
    <s v="Operation"/>
    <s v="C&amp;C Manager"/>
    <d v="2026-06-30T00:00:00"/>
    <m/>
    <s v="Open Due"/>
    <n v="0"/>
    <s v="Less than/upto 3 Months"/>
    <s v="We acknowledge the observation regarding the certain customer credit file documents. It is important to note that all essential documents that protect the company’s legal rights, including the Commercial Registration, the Lease Contracts, and Schedule-A are fully completed and properly maintained._x000a_As for the remaining documents identified as incomplete, these documents were explicitly justified within each transaction, and the exceptions were approved based on the formal authorization of the Credit Committee._x000a_Furthermore, the Credit Department already maintains a Customer Credit File Checklist in soft copies used to monitor required documentation, and this checklist is periodically updated to align with company policy and going forward make a hard copy version of check list and attach with every file."/>
  </r>
  <r>
    <n v="305"/>
    <s v="BTC"/>
    <n v="2025"/>
    <s v="Credit"/>
    <s v="Lead to Collection"/>
    <s v="Absence of System-Based Workflow for Credit Approvals in Fleet Express"/>
    <s v="Fleet Express (new fleet management system) does not have a built-in workflow for Credit related approvals. All credit applications (new customers, credit limit approvals, extensions, and overrides) are processed manually through emails or paper forms. _x000a_There is no automated routing, maker–checker control, approval hierarchy, time stamping, or system-based audit trail for credit decisions."/>
    <s v="1._x0009_Management should urgently implement a system-based credit approval workflow within Fleet Express that includes:_x000a_•_x0009_Configurable approval matrix based on credit limits, customer risk grade, and exposure_x000a_•_x0009_Maker–checker and multi-level approvals_x000a_•_x0009_Automated routing to authorized approvers_x000a_•_x0009_System-generated time-stamped audit trail_x000a_•_x0009_Blocking of contract activation unless credit approval is completed in the system_x000a_2._x0009_Until the system workflow is implemented, management should establish interim controls, including:_x000a_•_x0009_Centralized credit approval register/database_x000a_•_x0009_Mandatory approval templates_x000a_•_x0009_Independent verification before contract activation"/>
    <s v="High"/>
    <s v="System &amp; Application"/>
    <s v="C&amp;C Manager"/>
    <d v="2026-06-30T00:00:00"/>
    <m/>
    <s v="Open Due"/>
    <n v="0"/>
    <s v="Less than/upto 3 Months"/>
    <s v="We fully agree with the observation and are committed to strengthening control effectiveness and enhancing transparency and auditability of the credit approval workflow._x000a_The Credit &amp; Collection Department has already submitted a formal request to the IT Department and the development team has initiated work on designing and implementing the credit approval workflow._x000a_As interim controls, we have a credit approval register and standardized approval templates to ensure compliance with delegated authorities."/>
  </r>
  <r>
    <n v="306"/>
    <s v="BTC"/>
    <n v="2025"/>
    <s v="Credit"/>
    <s v="Lead to Collection"/>
    <s v="Customer Credit Limits and SIMAH Credit Ratings Not Maintained in Fleet Express System"/>
    <s v="It was observed that Fleet Express system does not contain customer credit limits. Approved credit limits are maintained manually in spreadsheets and physical files by Credit team. The system allows lease contracts, vehicle deliveries, and billing to be processed without validating available customer credit limits._x000a_As a result, Fleet Express functions as a purely operational system without enforcing any credit risk controls. As for sound credit risk management practices and internal control standards, customer credit limits must be:_x000a_•_x0009_Maintained in the system_x000a_•_x0009_Linked to each customer account_x000a_•_x0009_Automatically validated before agreement creation and billing_x000a_•_x0009_Updated only through authorized approval workflows_x000a__x000a_It was observed that Credit department is maintaining SIMAH customer credit rating data on the excel sheets for all the customers approaching credit."/>
    <s v="1._x0009_Management should immediately implement customer credit limits with Fleet Express with the following controls:_x000a_•_x0009_Master data fields for approved credit limit, temporary limit, and expiry date_x000a_•_x0009_Automated exposure calculation (active leases + outstanding invoices + deposits + other charges)_x000a_•_x0009_System-based blocking of new contracts when limits are exceeded_x000a_•_x0009_Integration with credit approval workflows_x000a_•_x0009_Periodic reconciliation between system exposure and approved limits_x000a_2._x0009_Customer credit rating information generated by SIMAH should be maintained in Fleet Express and customer credit report should be attached for future reference."/>
    <s v="Medium"/>
    <s v="Operation"/>
    <s v="C&amp;C Manager"/>
    <d v="2026-06-30T00:00:00"/>
    <m/>
    <s v="Open Due"/>
    <n v="0"/>
    <s v="Less than/upto 3 Months"/>
    <s v="Full integration between Fleet Express and Microsoft Dynamics has not yet been completed, which prevents the activation and maintenance of customer credit limits within the system_x000a_Once the integration between both systems is finalized, all customer credit limits and Simah credit ratings will be updated and maintained directly within Fleet Expr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F0D45-4235-4F02-89C0-005136B026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F25158-869A-4317-A28C-FF8A88546BC1}" name="Table1343" displayName="Table1343" ref="A3:Q178" totalsRowShown="0" dataDxfId="29" headerRowBorderDxfId="30" tableBorderDxfId="28">
  <autoFilter ref="A3:Q178" xr:uid="{E0F25158-869A-4317-A28C-FF8A88546BC1}"/>
  <tableColumns count="17">
    <tableColumn id="1" xr3:uid="{B620439C-E268-4995-87EA-D932EB8ED1F6}" name="S.N" dataDxfId="27">
      <calculatedColumnFormula>ROW(A4)-3</calculatedColumnFormula>
    </tableColumn>
    <tableColumn id="3" xr3:uid="{C10A395F-1FDD-46A5-81A1-8A9A42B9D35B}" name="Company" dataDxfId="26"/>
    <tableColumn id="2" xr3:uid="{9EF06B72-56E4-4D8E-80FF-99C45A1CBDE2}" name="Audit Year" dataDxfId="25"/>
    <tableColumn id="4" xr3:uid="{4F2C30DA-D0DE-411D-B199-4B120C00B827}" name="Department" dataDxfId="24"/>
    <tableColumn id="5" xr3:uid="{F086F5DF-974D-4F71-A82D-D99EB3FDA626}" name="Audit Cycle/ Department" dataDxfId="23"/>
    <tableColumn id="6" xr3:uid="{5C877FC6-1CCC-4E8F-B8F6-BB5AFB6C5F75}" name="Observation Name" dataDxfId="22"/>
    <tableColumn id="7" xr3:uid="{CB9F2809-B621-4213-8A01-8B64D272EC97}" name="Summary of Observation" dataDxfId="21"/>
    <tableColumn id="8" xr3:uid="{D00C1F96-6996-4BA0-9E53-78CEE29EE4D8}" name="Recommendations" dataDxfId="20"/>
    <tableColumn id="9" xr3:uid="{5070A4D4-7A15-4C74-8512-59802D698DDC}" name="Rating" dataDxfId="19"/>
    <tableColumn id="10" xr3:uid="{2B3C8BD4-9949-4E1B-A833-5AAE46555D3A}" name="Observation type" dataDxfId="18"/>
    <tableColumn id="11" xr3:uid="{4B326B6B-BC2B-46E1-BE10-301F49172AB9}" name="Action Owner" dataDxfId="17"/>
    <tableColumn id="12" xr3:uid="{E98B826D-989D-43B0-8947-082A8852AD33}" name="Implementation Due Date" dataDxfId="16"/>
    <tableColumn id="32" xr3:uid="{9DB58029-7269-42F7-BAEA-865B3B024DBF}" name="Revised Date (31/03/2026)" dataDxfId="15"/>
    <tableColumn id="25" xr3:uid="{A6631FA0-B0B1-462E-AFCF-A7501900B2D5}" name="IA Status" dataDxfId="14">
      <calculatedColumnFormula>IF(M4="", "Closed", IF(--M4 &gt; --$N$2, "Open Not Due", "Open Due"))</calculatedColumnFormula>
    </tableColumn>
    <tableColumn id="28" xr3:uid="{F8C0DAF9-18DA-48DC-93C4-52891BC8ADCB}" name="Aging since initial Implementation date" dataDxfId="13">
      <calculatedColumnFormula>$N$2-L4</calculatedColumnFormula>
    </tableColumn>
    <tableColumn id="27" xr3:uid="{19BAB2F1-67B4-4C3E-B0FA-FB35AFBBDB77}" name="Aging for Open Due" dataDxfId="12">
      <calculatedColumnFormula>IF(N4="Open Not Due","Open Not Due",
IF(N4="Closed","Closed",
IF(O4&lt;180,"less than 6 months",
IF(O4&lt;365,"less than one year",
"above one year"))))</calculatedColumnFormula>
    </tableColumn>
    <tableColumn id="29" xr3:uid="{BC2EF46F-13ED-4C79-B3F8-60CAC8EA2D3B}" name="Management Responses"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2ED392-0BE3-46A1-B4AE-23EDEDC035C4}" name="Table134" displayName="Table134" ref="A3:Z320" totalsRowShown="0" dataDxfId="58" headerRowBorderDxfId="59" tableBorderDxfId="57">
  <autoFilter ref="A3:Z320" xr:uid="{4F2ED392-0BE3-46A1-B4AE-23EDEDC035C4}"/>
  <tableColumns count="26">
    <tableColumn id="1" xr3:uid="{38B59542-5524-42E9-B23A-B83CAFDE1DE7}" name="S.N" dataDxfId="56">
      <calculatedColumnFormula>ROW(A4)-3</calculatedColumnFormula>
    </tableColumn>
    <tableColumn id="3" xr3:uid="{5808FCFB-6585-4AF2-9D4E-ECB6B0E1D07E}" name="Company" dataDxfId="55"/>
    <tableColumn id="13" xr3:uid="{56DB454D-9D8F-4247-A3FF-21CC6ADD3421}" name="subcompany" dataDxfId="54"/>
    <tableColumn id="2" xr3:uid="{7F42667F-12C8-4214-BF58-6269238FEA00}" name="Audit Year" dataDxfId="53"/>
    <tableColumn id="14" xr3:uid="{FA84C823-068B-479D-B8B3-9508F9BCB935}" name="email" dataDxfId="52"/>
    <tableColumn id="4" xr3:uid="{B1891536-B7F9-4905-BFE4-A37FD6A7762C}" name="Department" dataDxfId="51"/>
    <tableColumn id="5" xr3:uid="{F4930621-F565-4CBD-83DC-CF3932293D7E}" name="Audit Cycle/ Department" dataDxfId="50"/>
    <tableColumn id="6" xr3:uid="{A20D89FE-E34E-4305-B997-3BA22FFFB991}" name="Observation Name" dataDxfId="49"/>
    <tableColumn id="7" xr3:uid="{B8F4A759-3636-4B06-BE93-04BF0B3EEEE6}" name="Summary of Observation" dataDxfId="48"/>
    <tableColumn id="8" xr3:uid="{1775A7D6-5EA0-4CAA-A03D-50DA4B942528}" name="Recommendations" dataDxfId="47"/>
    <tableColumn id="9" xr3:uid="{47C1B8F8-DD53-46FE-A70A-7AF23F641592}" name="Rating" dataDxfId="46"/>
    <tableColumn id="10" xr3:uid="{3DB12584-7937-4630-897B-9B8F9AD184E2}" name="Observation type" dataDxfId="45"/>
    <tableColumn id="11" xr3:uid="{8D86DE35-9F84-4465-9B0A-C8CF99C67C4A}" name="Action Owner" dataDxfId="44"/>
    <tableColumn id="12" xr3:uid="{139B61B6-D82C-4982-8B4D-4F6B4349BBB5}" name="Implementation Due Date" dataDxfId="43"/>
    <tableColumn id="21" xr3:uid="{B81B0E45-BA3E-48C1-8E00-3474CB45A83A}" name="Finding released during current Year" dataDxfId="42">
      <calculatedColumnFormula>TEXT(Table134[[#This Row],[Implementation Due Date]],"YYYY")</calculatedColumnFormula>
    </tableColumn>
    <tableColumn id="20" xr3:uid="{7033CADA-2889-4B01-BF2D-9EEF34C43133}" name="Planned Closure Year" dataDxfId="41">
      <calculatedColumnFormula>TEXT(Table134[[#This Row],[Implementation Due Date]],"YYYY")</calculatedColumnFormula>
    </tableColumn>
    <tableColumn id="19" xr3:uid="{9963DF7E-B39F-4366-86F4-F30692DA52A1}" name="PlannedClosure Quarter" dataDxfId="40">
      <calculatedColumnFormula>"Q"&amp;ROUNDUP(MONTH(Table134[[#This Row],[Implementation Due Date]])/3,0)</calculatedColumnFormula>
    </tableColumn>
    <tableColumn id="18" xr3:uid="{8A887806-3447-48D7-9D18-2AE3B62E09DB}" name="Actual Closure Year" dataDxfId="39"/>
    <tableColumn id="17" xr3:uid="{2BA52A40-DF57-4060-AFE1-AE1267460910}" name="Actual Closure Quarter" dataDxfId="38"/>
    <tableColumn id="32" xr3:uid="{BA4E8B20-0711-4B72-B9D2-B4DEE5BBEE72}" name="Revised Date (31/03/2026)" dataDxfId="37"/>
    <tableColumn id="25" xr3:uid="{79A33BDC-25E2-4FD3-9CD4-BCD9414F8A58}" name="IA Status" dataDxfId="36"/>
    <tableColumn id="28" xr3:uid="{9300ADD4-B687-4EF8-8732-4363A7CED935}" name="Aging since initial Implementation date" dataDxfId="35"/>
    <tableColumn id="27" xr3:uid="{BEBA5AC8-33E4-4711-9EC0-A559DA83BF2E}" name="Aging for Open Due" dataDxfId="34"/>
    <tableColumn id="15" xr3:uid="{FB968847-2A92-4AEA-AA60-5D15DD4D97E9}" name="Closing Period " dataDxfId="33"/>
    <tableColumn id="16" xr3:uid="{24C802C7-542A-40E5-ADD7-02DE54CE8180}" name="Management Responses" dataDxfId="32"/>
    <tableColumn id="29" xr3:uid="{12A2AD07-493C-4563-8D26-CD2485FAFD0D}" name="IA Responses" dataDxfId="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7B86-18A8-466E-803C-2D3A8586A350}">
  <sheetPr>
    <tabColor rgb="FFFF3300"/>
  </sheetPr>
  <dimension ref="A1:R178"/>
  <sheetViews>
    <sheetView showGridLines="0" zoomScale="70" zoomScaleNormal="70" workbookViewId="0">
      <pane xSplit="6" ySplit="3" topLeftCell="N175" activePane="bottomRight" state="frozen"/>
      <selection pane="topRight" activeCell="G1" sqref="G1"/>
      <selection pane="bottomLeft" activeCell="A4" sqref="A4"/>
      <selection pane="bottomRight" activeCell="F179" sqref="F179"/>
    </sheetView>
  </sheetViews>
  <sheetFormatPr defaultColWidth="45.6640625" defaultRowHeight="13.8" x14ac:dyDescent="0.3"/>
  <cols>
    <col min="1" max="1" width="6.5546875" style="1" customWidth="1"/>
    <col min="2" max="2" width="14.6640625" style="1" bestFit="1" customWidth="1"/>
    <col min="3" max="3" width="10.6640625" style="2" customWidth="1"/>
    <col min="4" max="4" width="18.5546875" style="4" customWidth="1"/>
    <col min="5" max="5" width="12.88671875" style="4" bestFit="1" customWidth="1"/>
    <col min="6" max="6" width="53.33203125" style="5" bestFit="1" customWidth="1"/>
    <col min="7" max="7" width="72.33203125" style="6" customWidth="1"/>
    <col min="8" max="8" width="52.6640625" style="1" customWidth="1"/>
    <col min="9" max="9" width="11.44140625" style="1" bestFit="1" customWidth="1"/>
    <col min="10" max="10" width="16" style="7" customWidth="1"/>
    <col min="11" max="11" width="20.6640625" style="1" customWidth="1"/>
    <col min="12" max="12" width="23.33203125" style="8" customWidth="1"/>
    <col min="13" max="13" width="23.6640625" style="61" customWidth="1"/>
    <col min="14" max="14" width="16.33203125" style="4" customWidth="1"/>
    <col min="15" max="16" width="32.5546875" style="4" customWidth="1"/>
    <col min="17" max="17" width="53.33203125" style="5" bestFit="1" customWidth="1"/>
    <col min="18" max="16384" width="45.6640625" style="1"/>
  </cols>
  <sheetData>
    <row r="1" spans="1:17" ht="47.25" customHeight="1" x14ac:dyDescent="0.3">
      <c r="D1" s="3" t="s">
        <v>0</v>
      </c>
      <c r="M1" s="8"/>
    </row>
    <row r="2" spans="1:17" ht="24" thickBot="1" x14ac:dyDescent="0.35">
      <c r="A2" s="9" t="s">
        <v>1</v>
      </c>
      <c r="B2" s="9"/>
      <c r="F2" s="1"/>
      <c r="M2" s="8"/>
      <c r="N2" s="10">
        <v>46112</v>
      </c>
      <c r="O2" s="4" t="s">
        <v>2</v>
      </c>
      <c r="Q2" s="1"/>
    </row>
    <row r="3" spans="1:17" ht="21.45" customHeight="1" x14ac:dyDescent="0.3">
      <c r="A3" s="11" t="s">
        <v>3</v>
      </c>
      <c r="B3" s="11" t="s">
        <v>4</v>
      </c>
      <c r="C3" s="11" t="s">
        <v>5</v>
      </c>
      <c r="D3" s="11" t="s">
        <v>6</v>
      </c>
      <c r="E3" s="11" t="s">
        <v>7</v>
      </c>
      <c r="F3" s="11" t="s">
        <v>8</v>
      </c>
      <c r="G3" s="11" t="s">
        <v>9</v>
      </c>
      <c r="H3" s="11" t="s">
        <v>10</v>
      </c>
      <c r="I3" s="12" t="s">
        <v>11</v>
      </c>
      <c r="J3" s="12" t="s">
        <v>12</v>
      </c>
      <c r="K3" s="11" t="s">
        <v>13</v>
      </c>
      <c r="L3" s="11" t="s">
        <v>14</v>
      </c>
      <c r="M3" s="13" t="s">
        <v>15</v>
      </c>
      <c r="N3" s="11" t="s">
        <v>16</v>
      </c>
      <c r="O3" s="11" t="s">
        <v>2</v>
      </c>
      <c r="P3" s="14" t="s">
        <v>17</v>
      </c>
      <c r="Q3" s="11" t="s">
        <v>18</v>
      </c>
    </row>
    <row r="4" spans="1:17" ht="144" customHeight="1" x14ac:dyDescent="0.3">
      <c r="A4" s="15">
        <f>ROW(A4)-3</f>
        <v>1</v>
      </c>
      <c r="B4" s="15" t="s">
        <v>19</v>
      </c>
      <c r="C4" s="15">
        <v>2021</v>
      </c>
      <c r="D4" s="15" t="s">
        <v>20</v>
      </c>
      <c r="E4" s="16" t="s">
        <v>21</v>
      </c>
      <c r="F4" s="17" t="s">
        <v>22</v>
      </c>
      <c r="G4" s="18" t="s">
        <v>23</v>
      </c>
      <c r="H4" s="18" t="s">
        <v>24</v>
      </c>
      <c r="I4" s="19" t="s">
        <v>25</v>
      </c>
      <c r="J4" s="20" t="s">
        <v>26</v>
      </c>
      <c r="K4" s="15" t="s">
        <v>27</v>
      </c>
      <c r="L4" s="21">
        <v>44407</v>
      </c>
      <c r="M4" s="23">
        <v>45565</v>
      </c>
      <c r="N4" s="19" t="str">
        <f t="shared" ref="N4:N67" si="0">IF(M4="", "Closed", IF(--M4 &gt; --$N$2, "Open Not Due", "Open Due"))</f>
        <v>Open Due</v>
      </c>
      <c r="O4" s="24">
        <f t="shared" ref="O4:O67" si="1">$N$2-L4</f>
        <v>1705</v>
      </c>
      <c r="P4" s="24" t="str">
        <f>IF(N4="Open Not Due","Open Not Due",
IF(N4="Closed","Closed",
IF(O4&lt;180,"less than 6 months",
IF(O4&lt;365,"less than one year",
"above one year"))))</f>
        <v>above one year</v>
      </c>
      <c r="Q4" s="17" t="s">
        <v>28</v>
      </c>
    </row>
    <row r="5" spans="1:17" ht="234.6" x14ac:dyDescent="0.3">
      <c r="A5" s="15">
        <f t="shared" ref="A5:A68" si="2">ROW(A5)-3</f>
        <v>2</v>
      </c>
      <c r="B5" s="15" t="s">
        <v>19</v>
      </c>
      <c r="C5" s="15">
        <v>2021</v>
      </c>
      <c r="D5" s="15" t="s">
        <v>20</v>
      </c>
      <c r="E5" s="16" t="s">
        <v>21</v>
      </c>
      <c r="F5" s="17" t="s">
        <v>29</v>
      </c>
      <c r="G5" s="18" t="s">
        <v>30</v>
      </c>
      <c r="H5" s="18" t="s">
        <v>31</v>
      </c>
      <c r="I5" s="19" t="s">
        <v>25</v>
      </c>
      <c r="J5" s="20" t="s">
        <v>26</v>
      </c>
      <c r="K5" s="15" t="s">
        <v>32</v>
      </c>
      <c r="L5" s="21">
        <v>44469</v>
      </c>
      <c r="M5" s="23">
        <v>45565</v>
      </c>
      <c r="N5" s="19" t="str">
        <f t="shared" si="0"/>
        <v>Open Due</v>
      </c>
      <c r="O5" s="24">
        <f t="shared" si="1"/>
        <v>1643</v>
      </c>
      <c r="P5" s="24" t="str">
        <f t="shared" ref="P5:P68" si="3">IF(N5="Open Not Due","Open Not Due",
IF(N5="Closed","Closed",
IF(O5&lt;180,"less than 6 months",
IF(O5&lt;365,"less than one year",
"above one year"))))</f>
        <v>above one year</v>
      </c>
      <c r="Q5" s="17" t="s">
        <v>33</v>
      </c>
    </row>
    <row r="6" spans="1:17" ht="124.2" x14ac:dyDescent="0.3">
      <c r="A6" s="15">
        <f t="shared" si="2"/>
        <v>3</v>
      </c>
      <c r="B6" s="15" t="s">
        <v>19</v>
      </c>
      <c r="C6" s="15">
        <v>2021</v>
      </c>
      <c r="D6" s="15" t="s">
        <v>20</v>
      </c>
      <c r="E6" s="16" t="s">
        <v>21</v>
      </c>
      <c r="F6" s="25" t="s">
        <v>34</v>
      </c>
      <c r="G6" s="18" t="s">
        <v>35</v>
      </c>
      <c r="H6" s="18" t="s">
        <v>36</v>
      </c>
      <c r="I6" s="19" t="s">
        <v>25</v>
      </c>
      <c r="J6" s="20" t="s">
        <v>37</v>
      </c>
      <c r="K6" s="15" t="s">
        <v>32</v>
      </c>
      <c r="L6" s="21">
        <v>44407</v>
      </c>
      <c r="M6" s="23"/>
      <c r="N6" s="19" t="str">
        <f t="shared" si="0"/>
        <v>Closed</v>
      </c>
      <c r="O6" s="24">
        <f t="shared" si="1"/>
        <v>1705</v>
      </c>
      <c r="P6" s="24" t="str">
        <f t="shared" si="3"/>
        <v>Closed</v>
      </c>
      <c r="Q6" s="17" t="e">
        <v>#N/A</v>
      </c>
    </row>
    <row r="7" spans="1:17" ht="138" x14ac:dyDescent="0.3">
      <c r="A7" s="15">
        <f t="shared" si="2"/>
        <v>4</v>
      </c>
      <c r="B7" s="15" t="s">
        <v>19</v>
      </c>
      <c r="C7" s="15">
        <v>2021</v>
      </c>
      <c r="D7" s="15" t="s">
        <v>20</v>
      </c>
      <c r="E7" s="16" t="s">
        <v>21</v>
      </c>
      <c r="F7" s="26" t="s">
        <v>38</v>
      </c>
      <c r="G7" s="18" t="s">
        <v>39</v>
      </c>
      <c r="H7" s="18" t="s">
        <v>40</v>
      </c>
      <c r="I7" s="27" t="s">
        <v>25</v>
      </c>
      <c r="J7" s="20" t="s">
        <v>26</v>
      </c>
      <c r="K7" s="15" t="s">
        <v>41</v>
      </c>
      <c r="L7" s="21">
        <v>44407</v>
      </c>
      <c r="M7" s="22"/>
      <c r="N7" s="19" t="str">
        <f t="shared" si="0"/>
        <v>Closed</v>
      </c>
      <c r="O7" s="24">
        <f t="shared" si="1"/>
        <v>1705</v>
      </c>
      <c r="P7" s="24" t="str">
        <f t="shared" si="3"/>
        <v>Closed</v>
      </c>
      <c r="Q7" s="17" t="e">
        <v>#N/A</v>
      </c>
    </row>
    <row r="8" spans="1:17" ht="27.6" x14ac:dyDescent="0.3">
      <c r="A8" s="15">
        <f t="shared" si="2"/>
        <v>5</v>
      </c>
      <c r="B8" s="15" t="s">
        <v>19</v>
      </c>
      <c r="C8" s="15">
        <v>2021</v>
      </c>
      <c r="D8" s="15" t="s">
        <v>20</v>
      </c>
      <c r="E8" s="16" t="s">
        <v>21</v>
      </c>
      <c r="F8" s="25" t="s">
        <v>42</v>
      </c>
      <c r="G8" s="18" t="s">
        <v>43</v>
      </c>
      <c r="H8" s="18" t="s">
        <v>44</v>
      </c>
      <c r="I8" s="19" t="s">
        <v>25</v>
      </c>
      <c r="J8" s="20" t="s">
        <v>45</v>
      </c>
      <c r="K8" s="15" t="s">
        <v>46</v>
      </c>
      <c r="L8" s="21">
        <v>44407</v>
      </c>
      <c r="M8" s="23"/>
      <c r="N8" s="19" t="str">
        <f t="shared" si="0"/>
        <v>Closed</v>
      </c>
      <c r="O8" s="24">
        <f t="shared" si="1"/>
        <v>1705</v>
      </c>
      <c r="P8" s="24" t="str">
        <f t="shared" si="3"/>
        <v>Closed</v>
      </c>
      <c r="Q8" s="17" t="e">
        <v>#N/A</v>
      </c>
    </row>
    <row r="9" spans="1:17" ht="151.5" customHeight="1" x14ac:dyDescent="0.3">
      <c r="A9" s="15">
        <f t="shared" si="2"/>
        <v>6</v>
      </c>
      <c r="B9" s="15" t="s">
        <v>19</v>
      </c>
      <c r="C9" s="15">
        <v>2021</v>
      </c>
      <c r="D9" s="15" t="s">
        <v>20</v>
      </c>
      <c r="E9" s="16" t="s">
        <v>21</v>
      </c>
      <c r="F9" s="25" t="s">
        <v>47</v>
      </c>
      <c r="G9" s="18" t="s">
        <v>48</v>
      </c>
      <c r="H9" s="18" t="s">
        <v>49</v>
      </c>
      <c r="I9" s="19" t="s">
        <v>50</v>
      </c>
      <c r="J9" s="20" t="s">
        <v>45</v>
      </c>
      <c r="K9" s="15" t="s">
        <v>27</v>
      </c>
      <c r="L9" s="21">
        <v>44469</v>
      </c>
      <c r="M9" s="23">
        <v>45565</v>
      </c>
      <c r="N9" s="19" t="str">
        <f t="shared" si="0"/>
        <v>Open Due</v>
      </c>
      <c r="O9" s="24">
        <f t="shared" si="1"/>
        <v>1643</v>
      </c>
      <c r="P9" s="24" t="str">
        <f t="shared" si="3"/>
        <v>above one year</v>
      </c>
      <c r="Q9" s="17" t="s">
        <v>51</v>
      </c>
    </row>
    <row r="10" spans="1:17" ht="140.25" customHeight="1" x14ac:dyDescent="0.3">
      <c r="A10" s="15">
        <f t="shared" si="2"/>
        <v>7</v>
      </c>
      <c r="B10" s="15" t="s">
        <v>19</v>
      </c>
      <c r="C10" s="15">
        <v>2021</v>
      </c>
      <c r="D10" s="15" t="s">
        <v>20</v>
      </c>
      <c r="E10" s="16" t="s">
        <v>21</v>
      </c>
      <c r="F10" s="25" t="s">
        <v>52</v>
      </c>
      <c r="G10" s="18" t="s">
        <v>53</v>
      </c>
      <c r="H10" s="18" t="s">
        <v>54</v>
      </c>
      <c r="I10" s="19" t="s">
        <v>50</v>
      </c>
      <c r="J10" s="20" t="s">
        <v>55</v>
      </c>
      <c r="K10" s="15" t="s">
        <v>27</v>
      </c>
      <c r="L10" s="21">
        <v>44407</v>
      </c>
      <c r="M10" s="22"/>
      <c r="N10" s="19" t="str">
        <f t="shared" si="0"/>
        <v>Closed</v>
      </c>
      <c r="O10" s="24">
        <f t="shared" si="1"/>
        <v>1705</v>
      </c>
      <c r="P10" s="24" t="str">
        <f t="shared" si="3"/>
        <v>Closed</v>
      </c>
      <c r="Q10" s="17" t="e">
        <v>#N/A</v>
      </c>
    </row>
    <row r="11" spans="1:17" ht="90" customHeight="1" x14ac:dyDescent="0.3">
      <c r="A11" s="15">
        <f t="shared" si="2"/>
        <v>8</v>
      </c>
      <c r="B11" s="15" t="s">
        <v>19</v>
      </c>
      <c r="C11" s="15">
        <v>2021</v>
      </c>
      <c r="D11" s="15" t="s">
        <v>20</v>
      </c>
      <c r="E11" s="16" t="s">
        <v>21</v>
      </c>
      <c r="F11" s="25" t="s">
        <v>56</v>
      </c>
      <c r="G11" s="18" t="s">
        <v>57</v>
      </c>
      <c r="H11" s="18" t="s">
        <v>58</v>
      </c>
      <c r="I11" s="19" t="s">
        <v>50</v>
      </c>
      <c r="J11" s="20" t="s">
        <v>26</v>
      </c>
      <c r="K11" s="15" t="s">
        <v>27</v>
      </c>
      <c r="L11" s="21">
        <v>44377</v>
      </c>
      <c r="M11" s="23">
        <v>45565</v>
      </c>
      <c r="N11" s="19" t="str">
        <f t="shared" si="0"/>
        <v>Open Due</v>
      </c>
      <c r="O11" s="24">
        <f t="shared" si="1"/>
        <v>1735</v>
      </c>
      <c r="P11" s="24" t="str">
        <f t="shared" si="3"/>
        <v>above one year</v>
      </c>
      <c r="Q11" s="17" t="s">
        <v>51</v>
      </c>
    </row>
    <row r="12" spans="1:17" ht="110.4" x14ac:dyDescent="0.3">
      <c r="A12" s="15">
        <f t="shared" si="2"/>
        <v>9</v>
      </c>
      <c r="B12" s="15" t="s">
        <v>19</v>
      </c>
      <c r="C12" s="15">
        <v>2021</v>
      </c>
      <c r="D12" s="15" t="s">
        <v>20</v>
      </c>
      <c r="E12" s="16" t="s">
        <v>21</v>
      </c>
      <c r="F12" s="25" t="s">
        <v>59</v>
      </c>
      <c r="G12" s="18" t="s">
        <v>60</v>
      </c>
      <c r="H12" s="18" t="s">
        <v>61</v>
      </c>
      <c r="I12" s="27" t="s">
        <v>50</v>
      </c>
      <c r="J12" s="20" t="s">
        <v>55</v>
      </c>
      <c r="K12" s="15" t="s">
        <v>27</v>
      </c>
      <c r="L12" s="21">
        <v>44377</v>
      </c>
      <c r="M12" s="22"/>
      <c r="N12" s="19" t="str">
        <f t="shared" si="0"/>
        <v>Closed</v>
      </c>
      <c r="O12" s="24">
        <f t="shared" si="1"/>
        <v>1735</v>
      </c>
      <c r="P12" s="24" t="str">
        <f t="shared" si="3"/>
        <v>Closed</v>
      </c>
      <c r="Q12" s="17" t="e">
        <v>#N/A</v>
      </c>
    </row>
    <row r="13" spans="1:17" ht="114.75" customHeight="1" x14ac:dyDescent="0.3">
      <c r="A13" s="15">
        <f t="shared" si="2"/>
        <v>10</v>
      </c>
      <c r="B13" s="15" t="s">
        <v>19</v>
      </c>
      <c r="C13" s="15">
        <v>2021</v>
      </c>
      <c r="D13" s="15" t="s">
        <v>20</v>
      </c>
      <c r="E13" s="16" t="s">
        <v>21</v>
      </c>
      <c r="F13" s="28" t="s">
        <v>62</v>
      </c>
      <c r="G13" s="18" t="s">
        <v>63</v>
      </c>
      <c r="H13" s="18" t="s">
        <v>64</v>
      </c>
      <c r="I13" s="27" t="s">
        <v>50</v>
      </c>
      <c r="J13" s="20" t="s">
        <v>55</v>
      </c>
      <c r="K13" s="15" t="s">
        <v>27</v>
      </c>
      <c r="L13" s="21">
        <v>44346</v>
      </c>
      <c r="M13" s="22"/>
      <c r="N13" s="19" t="str">
        <f t="shared" si="0"/>
        <v>Closed</v>
      </c>
      <c r="O13" s="24">
        <f t="shared" si="1"/>
        <v>1766</v>
      </c>
      <c r="P13" s="24" t="str">
        <f t="shared" si="3"/>
        <v>Closed</v>
      </c>
      <c r="Q13" s="17" t="e">
        <v>#N/A</v>
      </c>
    </row>
    <row r="14" spans="1:17" ht="96.6" x14ac:dyDescent="0.3">
      <c r="A14" s="15">
        <f t="shared" si="2"/>
        <v>11</v>
      </c>
      <c r="B14" s="15" t="s">
        <v>19</v>
      </c>
      <c r="C14" s="15">
        <v>2021</v>
      </c>
      <c r="D14" s="15" t="s">
        <v>20</v>
      </c>
      <c r="E14" s="16" t="s">
        <v>21</v>
      </c>
      <c r="F14" s="28" t="s">
        <v>65</v>
      </c>
      <c r="G14" s="18" t="s">
        <v>66</v>
      </c>
      <c r="H14" s="18" t="s">
        <v>67</v>
      </c>
      <c r="I14" s="19" t="s">
        <v>50</v>
      </c>
      <c r="J14" s="20" t="s">
        <v>26</v>
      </c>
      <c r="K14" s="15" t="s">
        <v>27</v>
      </c>
      <c r="L14" s="21">
        <v>44469</v>
      </c>
      <c r="M14" s="23">
        <v>45565</v>
      </c>
      <c r="N14" s="19" t="str">
        <f t="shared" si="0"/>
        <v>Open Due</v>
      </c>
      <c r="O14" s="24">
        <f t="shared" si="1"/>
        <v>1643</v>
      </c>
      <c r="P14" s="24" t="str">
        <f t="shared" si="3"/>
        <v>above one year</v>
      </c>
      <c r="Q14" s="17" t="s">
        <v>51</v>
      </c>
    </row>
    <row r="15" spans="1:17" ht="55.2" x14ac:dyDescent="0.3">
      <c r="A15" s="15">
        <f t="shared" si="2"/>
        <v>12</v>
      </c>
      <c r="B15" s="15" t="s">
        <v>19</v>
      </c>
      <c r="C15" s="15">
        <v>2021</v>
      </c>
      <c r="D15" s="15" t="s">
        <v>20</v>
      </c>
      <c r="E15" s="16" t="s">
        <v>21</v>
      </c>
      <c r="F15" s="28" t="s">
        <v>68</v>
      </c>
      <c r="G15" s="18" t="s">
        <v>69</v>
      </c>
      <c r="H15" s="18" t="s">
        <v>70</v>
      </c>
      <c r="I15" s="27" t="s">
        <v>50</v>
      </c>
      <c r="J15" s="19" t="s">
        <v>55</v>
      </c>
      <c r="K15" s="15" t="s">
        <v>27</v>
      </c>
      <c r="L15" s="21">
        <v>44469</v>
      </c>
      <c r="M15" s="22"/>
      <c r="N15" s="19" t="str">
        <f t="shared" si="0"/>
        <v>Closed</v>
      </c>
      <c r="O15" s="24">
        <f t="shared" si="1"/>
        <v>1643</v>
      </c>
      <c r="P15" s="24" t="str">
        <f t="shared" si="3"/>
        <v>Closed</v>
      </c>
      <c r="Q15" s="17" t="e">
        <v>#N/A</v>
      </c>
    </row>
    <row r="16" spans="1:17" ht="67.5" customHeight="1" x14ac:dyDescent="0.3">
      <c r="A16" s="15">
        <f t="shared" si="2"/>
        <v>13</v>
      </c>
      <c r="B16" s="15" t="s">
        <v>19</v>
      </c>
      <c r="C16" s="15">
        <v>2021</v>
      </c>
      <c r="D16" s="15" t="s">
        <v>20</v>
      </c>
      <c r="E16" s="16" t="s">
        <v>21</v>
      </c>
      <c r="F16" s="28" t="s">
        <v>71</v>
      </c>
      <c r="G16" s="18" t="s">
        <v>72</v>
      </c>
      <c r="H16" s="18" t="s">
        <v>73</v>
      </c>
      <c r="I16" s="27" t="s">
        <v>50</v>
      </c>
      <c r="J16" s="19" t="s">
        <v>74</v>
      </c>
      <c r="K16" s="15" t="s">
        <v>75</v>
      </c>
      <c r="L16" s="21">
        <v>44347</v>
      </c>
      <c r="M16" s="22"/>
      <c r="N16" s="19" t="str">
        <f t="shared" si="0"/>
        <v>Closed</v>
      </c>
      <c r="O16" s="24">
        <f t="shared" si="1"/>
        <v>1765</v>
      </c>
      <c r="P16" s="24" t="str">
        <f t="shared" si="3"/>
        <v>Closed</v>
      </c>
      <c r="Q16" s="17" t="e">
        <v>#N/A</v>
      </c>
    </row>
    <row r="17" spans="1:17" ht="183" customHeight="1" x14ac:dyDescent="0.3">
      <c r="A17" s="15">
        <f t="shared" si="2"/>
        <v>14</v>
      </c>
      <c r="B17" s="15" t="s">
        <v>19</v>
      </c>
      <c r="C17" s="15">
        <v>2021</v>
      </c>
      <c r="D17" s="15" t="s">
        <v>20</v>
      </c>
      <c r="E17" s="16" t="s">
        <v>21</v>
      </c>
      <c r="F17" s="28" t="s">
        <v>76</v>
      </c>
      <c r="G17" s="18" t="s">
        <v>77</v>
      </c>
      <c r="H17" s="18" t="s">
        <v>78</v>
      </c>
      <c r="I17" s="29" t="s">
        <v>79</v>
      </c>
      <c r="J17" s="19" t="s">
        <v>55</v>
      </c>
      <c r="K17" s="15" t="s">
        <v>80</v>
      </c>
      <c r="L17" s="21">
        <v>44377</v>
      </c>
      <c r="M17" s="22"/>
      <c r="N17" s="19" t="str">
        <f t="shared" si="0"/>
        <v>Closed</v>
      </c>
      <c r="O17" s="24">
        <f t="shared" si="1"/>
        <v>1735</v>
      </c>
      <c r="P17" s="24" t="str">
        <f t="shared" si="3"/>
        <v>Closed</v>
      </c>
      <c r="Q17" s="17" t="e">
        <v>#N/A</v>
      </c>
    </row>
    <row r="18" spans="1:17" ht="358.8" x14ac:dyDescent="0.3">
      <c r="A18" s="15">
        <f t="shared" si="2"/>
        <v>15</v>
      </c>
      <c r="B18" s="15" t="s">
        <v>19</v>
      </c>
      <c r="C18" s="15">
        <v>2021</v>
      </c>
      <c r="D18" s="15" t="s">
        <v>81</v>
      </c>
      <c r="E18" s="16" t="s">
        <v>82</v>
      </c>
      <c r="F18" s="28" t="s">
        <v>83</v>
      </c>
      <c r="G18" s="18" t="s">
        <v>84</v>
      </c>
      <c r="H18" s="25" t="s">
        <v>85</v>
      </c>
      <c r="I18" s="19" t="s">
        <v>50</v>
      </c>
      <c r="J18" s="20" t="s">
        <v>26</v>
      </c>
      <c r="K18" s="30" t="s">
        <v>86</v>
      </c>
      <c r="L18" s="21">
        <v>44742</v>
      </c>
      <c r="M18" s="23"/>
      <c r="N18" s="19" t="str">
        <f t="shared" si="0"/>
        <v>Closed</v>
      </c>
      <c r="O18" s="24">
        <f t="shared" si="1"/>
        <v>1370</v>
      </c>
      <c r="P18" s="24" t="str">
        <f t="shared" si="3"/>
        <v>Closed</v>
      </c>
      <c r="Q18" s="17" t="e">
        <v>#N/A</v>
      </c>
    </row>
    <row r="19" spans="1:17" ht="179.4" x14ac:dyDescent="0.3">
      <c r="A19" s="15">
        <f t="shared" si="2"/>
        <v>16</v>
      </c>
      <c r="B19" s="15" t="s">
        <v>19</v>
      </c>
      <c r="C19" s="15">
        <v>2021</v>
      </c>
      <c r="D19" s="15" t="s">
        <v>81</v>
      </c>
      <c r="E19" s="16" t="s">
        <v>82</v>
      </c>
      <c r="F19" s="28" t="s">
        <v>87</v>
      </c>
      <c r="G19" s="18" t="s">
        <v>88</v>
      </c>
      <c r="H19" s="25" t="s">
        <v>89</v>
      </c>
      <c r="I19" s="19" t="s">
        <v>50</v>
      </c>
      <c r="J19" s="20" t="s">
        <v>55</v>
      </c>
      <c r="K19" s="30" t="s">
        <v>86</v>
      </c>
      <c r="L19" s="21">
        <v>44742</v>
      </c>
      <c r="M19" s="23"/>
      <c r="N19" s="19" t="str">
        <f t="shared" si="0"/>
        <v>Closed</v>
      </c>
      <c r="O19" s="24">
        <f t="shared" si="1"/>
        <v>1370</v>
      </c>
      <c r="P19" s="24" t="str">
        <f t="shared" si="3"/>
        <v>Closed</v>
      </c>
      <c r="Q19" s="17" t="e">
        <v>#N/A</v>
      </c>
    </row>
    <row r="20" spans="1:17" ht="55.2" x14ac:dyDescent="0.3">
      <c r="A20" s="15">
        <f t="shared" si="2"/>
        <v>17</v>
      </c>
      <c r="B20" s="15" t="s">
        <v>19</v>
      </c>
      <c r="C20" s="15">
        <v>2021</v>
      </c>
      <c r="D20" s="15" t="s">
        <v>81</v>
      </c>
      <c r="E20" s="16" t="s">
        <v>82</v>
      </c>
      <c r="F20" s="28" t="s">
        <v>90</v>
      </c>
      <c r="G20" s="26" t="s">
        <v>91</v>
      </c>
      <c r="H20" s="25" t="s">
        <v>92</v>
      </c>
      <c r="I20" s="19" t="s">
        <v>50</v>
      </c>
      <c r="J20" s="20" t="s">
        <v>26</v>
      </c>
      <c r="K20" s="30" t="s">
        <v>86</v>
      </c>
      <c r="L20" s="21">
        <v>44742</v>
      </c>
      <c r="M20" s="22"/>
      <c r="N20" s="19" t="str">
        <f t="shared" si="0"/>
        <v>Closed</v>
      </c>
      <c r="O20" s="24">
        <f t="shared" si="1"/>
        <v>1370</v>
      </c>
      <c r="P20" s="24" t="str">
        <f t="shared" si="3"/>
        <v>Closed</v>
      </c>
      <c r="Q20" s="17" t="e">
        <v>#N/A</v>
      </c>
    </row>
    <row r="21" spans="1:17" ht="96.6" x14ac:dyDescent="0.3">
      <c r="A21" s="15">
        <f t="shared" si="2"/>
        <v>18</v>
      </c>
      <c r="B21" s="15" t="s">
        <v>19</v>
      </c>
      <c r="C21" s="15">
        <v>2021</v>
      </c>
      <c r="D21" s="15" t="s">
        <v>81</v>
      </c>
      <c r="E21" s="16" t="s">
        <v>82</v>
      </c>
      <c r="F21" s="28" t="s">
        <v>93</v>
      </c>
      <c r="G21" s="26" t="s">
        <v>94</v>
      </c>
      <c r="H21" s="31" t="s">
        <v>95</v>
      </c>
      <c r="I21" s="19" t="s">
        <v>50</v>
      </c>
      <c r="J21" s="20" t="s">
        <v>26</v>
      </c>
      <c r="K21" s="30" t="s">
        <v>86</v>
      </c>
      <c r="L21" s="21">
        <v>44742</v>
      </c>
      <c r="M21" s="22"/>
      <c r="N21" s="19" t="str">
        <f t="shared" si="0"/>
        <v>Closed</v>
      </c>
      <c r="O21" s="24">
        <f t="shared" si="1"/>
        <v>1370</v>
      </c>
      <c r="P21" s="24" t="str">
        <f t="shared" si="3"/>
        <v>Closed</v>
      </c>
      <c r="Q21" s="17" t="e">
        <v>#N/A</v>
      </c>
    </row>
    <row r="22" spans="1:17" ht="124.2" x14ac:dyDescent="0.3">
      <c r="A22" s="15">
        <f t="shared" si="2"/>
        <v>19</v>
      </c>
      <c r="B22" s="15" t="s">
        <v>19</v>
      </c>
      <c r="C22" s="15">
        <v>2021</v>
      </c>
      <c r="D22" s="15" t="s">
        <v>81</v>
      </c>
      <c r="E22" s="16" t="s">
        <v>82</v>
      </c>
      <c r="F22" s="28" t="s">
        <v>96</v>
      </c>
      <c r="G22" s="18" t="s">
        <v>97</v>
      </c>
      <c r="H22" s="25" t="s">
        <v>98</v>
      </c>
      <c r="I22" s="19" t="s">
        <v>50</v>
      </c>
      <c r="J22" s="20" t="s">
        <v>26</v>
      </c>
      <c r="K22" s="30" t="s">
        <v>86</v>
      </c>
      <c r="L22" s="21">
        <v>44742</v>
      </c>
      <c r="M22" s="22"/>
      <c r="N22" s="19" t="str">
        <f t="shared" si="0"/>
        <v>Closed</v>
      </c>
      <c r="O22" s="24">
        <f t="shared" si="1"/>
        <v>1370</v>
      </c>
      <c r="P22" s="24" t="str">
        <f t="shared" si="3"/>
        <v>Closed</v>
      </c>
      <c r="Q22" s="17" t="e">
        <v>#N/A</v>
      </c>
    </row>
    <row r="23" spans="1:17" ht="41.4" x14ac:dyDescent="0.3">
      <c r="A23" s="15">
        <f t="shared" si="2"/>
        <v>20</v>
      </c>
      <c r="B23" s="15" t="s">
        <v>19</v>
      </c>
      <c r="C23" s="15">
        <v>2021</v>
      </c>
      <c r="D23" s="15" t="s">
        <v>81</v>
      </c>
      <c r="E23" s="16" t="s">
        <v>82</v>
      </c>
      <c r="F23" s="28" t="s">
        <v>99</v>
      </c>
      <c r="G23" s="18" t="s">
        <v>100</v>
      </c>
      <c r="H23" s="25" t="s">
        <v>101</v>
      </c>
      <c r="I23" s="19" t="s">
        <v>50</v>
      </c>
      <c r="J23" s="20" t="s">
        <v>37</v>
      </c>
      <c r="K23" s="30" t="s">
        <v>86</v>
      </c>
      <c r="L23" s="21">
        <v>44742</v>
      </c>
      <c r="M23" s="23"/>
      <c r="N23" s="19" t="str">
        <f t="shared" si="0"/>
        <v>Closed</v>
      </c>
      <c r="O23" s="24">
        <f t="shared" si="1"/>
        <v>1370</v>
      </c>
      <c r="P23" s="24" t="str">
        <f t="shared" si="3"/>
        <v>Closed</v>
      </c>
      <c r="Q23" s="17" t="e">
        <v>#N/A</v>
      </c>
    </row>
    <row r="24" spans="1:17" ht="96.6" x14ac:dyDescent="0.3">
      <c r="A24" s="15">
        <f t="shared" si="2"/>
        <v>21</v>
      </c>
      <c r="B24" s="15" t="s">
        <v>19</v>
      </c>
      <c r="C24" s="15">
        <v>2021</v>
      </c>
      <c r="D24" s="15" t="s">
        <v>81</v>
      </c>
      <c r="E24" s="16" t="s">
        <v>82</v>
      </c>
      <c r="F24" s="30" t="s">
        <v>102</v>
      </c>
      <c r="G24" s="26" t="s">
        <v>103</v>
      </c>
      <c r="H24" s="25" t="s">
        <v>104</v>
      </c>
      <c r="I24" s="19" t="s">
        <v>50</v>
      </c>
      <c r="J24" s="20" t="s">
        <v>55</v>
      </c>
      <c r="K24" s="30" t="s">
        <v>86</v>
      </c>
      <c r="L24" s="21">
        <v>44742</v>
      </c>
      <c r="M24" s="22"/>
      <c r="N24" s="19" t="str">
        <f t="shared" si="0"/>
        <v>Closed</v>
      </c>
      <c r="O24" s="24">
        <f t="shared" si="1"/>
        <v>1370</v>
      </c>
      <c r="P24" s="24" t="str">
        <f t="shared" si="3"/>
        <v>Closed</v>
      </c>
      <c r="Q24" s="17" t="e">
        <v>#N/A</v>
      </c>
    </row>
    <row r="25" spans="1:17" ht="96.6" x14ac:dyDescent="0.3">
      <c r="A25" s="15">
        <f t="shared" si="2"/>
        <v>22</v>
      </c>
      <c r="B25" s="15" t="s">
        <v>19</v>
      </c>
      <c r="C25" s="15">
        <v>2021</v>
      </c>
      <c r="D25" s="15" t="s">
        <v>81</v>
      </c>
      <c r="E25" s="16" t="s">
        <v>82</v>
      </c>
      <c r="F25" s="31" t="s">
        <v>105</v>
      </c>
      <c r="G25" s="18" t="s">
        <v>106</v>
      </c>
      <c r="H25" s="25" t="s">
        <v>107</v>
      </c>
      <c r="I25" s="19" t="s">
        <v>50</v>
      </c>
      <c r="J25" s="20" t="s">
        <v>55</v>
      </c>
      <c r="K25" s="30" t="s">
        <v>86</v>
      </c>
      <c r="L25" s="21">
        <v>44742</v>
      </c>
      <c r="M25" s="23">
        <v>45657</v>
      </c>
      <c r="N25" s="19" t="str">
        <f t="shared" si="0"/>
        <v>Open Due</v>
      </c>
      <c r="O25" s="24">
        <f t="shared" si="1"/>
        <v>1370</v>
      </c>
      <c r="P25" s="24" t="str">
        <f t="shared" si="3"/>
        <v>above one year</v>
      </c>
      <c r="Q25" s="17" t="s">
        <v>108</v>
      </c>
    </row>
    <row r="26" spans="1:17" ht="110.4" x14ac:dyDescent="0.3">
      <c r="A26" s="15">
        <f t="shared" si="2"/>
        <v>23</v>
      </c>
      <c r="B26" s="15" t="s">
        <v>19</v>
      </c>
      <c r="C26" s="15">
        <v>2021</v>
      </c>
      <c r="D26" s="15" t="s">
        <v>81</v>
      </c>
      <c r="E26" s="16" t="s">
        <v>82</v>
      </c>
      <c r="F26" s="25" t="s">
        <v>109</v>
      </c>
      <c r="G26" s="26" t="s">
        <v>110</v>
      </c>
      <c r="H26" s="25" t="s">
        <v>111</v>
      </c>
      <c r="I26" s="19" t="s">
        <v>50</v>
      </c>
      <c r="J26" s="20" t="s">
        <v>45</v>
      </c>
      <c r="K26" s="30" t="s">
        <v>86</v>
      </c>
      <c r="L26" s="21">
        <v>44742</v>
      </c>
      <c r="M26" s="23">
        <v>45657</v>
      </c>
      <c r="N26" s="19" t="str">
        <f t="shared" si="0"/>
        <v>Open Due</v>
      </c>
      <c r="O26" s="24">
        <f t="shared" si="1"/>
        <v>1370</v>
      </c>
      <c r="P26" s="24" t="str">
        <f t="shared" si="3"/>
        <v>above one year</v>
      </c>
      <c r="Q26" s="17" t="s">
        <v>112</v>
      </c>
    </row>
    <row r="27" spans="1:17" ht="82.8" x14ac:dyDescent="0.3">
      <c r="A27" s="15">
        <f t="shared" si="2"/>
        <v>24</v>
      </c>
      <c r="B27" s="15" t="s">
        <v>19</v>
      </c>
      <c r="C27" s="15">
        <v>2021</v>
      </c>
      <c r="D27" s="15" t="s">
        <v>81</v>
      </c>
      <c r="E27" s="16" t="s">
        <v>82</v>
      </c>
      <c r="F27" s="25" t="s">
        <v>113</v>
      </c>
      <c r="G27" s="26" t="s">
        <v>114</v>
      </c>
      <c r="H27" s="31" t="s">
        <v>115</v>
      </c>
      <c r="I27" s="19" t="s">
        <v>50</v>
      </c>
      <c r="J27" s="20" t="s">
        <v>55</v>
      </c>
      <c r="K27" s="30" t="s">
        <v>86</v>
      </c>
      <c r="L27" s="21">
        <v>44742</v>
      </c>
      <c r="M27" s="22"/>
      <c r="N27" s="19" t="str">
        <f t="shared" si="0"/>
        <v>Closed</v>
      </c>
      <c r="O27" s="24">
        <f t="shared" si="1"/>
        <v>1370</v>
      </c>
      <c r="P27" s="24" t="str">
        <f t="shared" si="3"/>
        <v>Closed</v>
      </c>
      <c r="Q27" s="17" t="e">
        <v>#N/A</v>
      </c>
    </row>
    <row r="28" spans="1:17" ht="41.4" x14ac:dyDescent="0.3">
      <c r="A28" s="15">
        <f t="shared" si="2"/>
        <v>25</v>
      </c>
      <c r="B28" s="15" t="s">
        <v>19</v>
      </c>
      <c r="C28" s="15">
        <v>2021</v>
      </c>
      <c r="D28" s="15" t="s">
        <v>81</v>
      </c>
      <c r="E28" s="16" t="s">
        <v>82</v>
      </c>
      <c r="F28" s="25" t="s">
        <v>116</v>
      </c>
      <c r="G28" s="32" t="s">
        <v>117</v>
      </c>
      <c r="H28" s="31" t="s">
        <v>118</v>
      </c>
      <c r="I28" s="19" t="s">
        <v>50</v>
      </c>
      <c r="J28" s="20" t="s">
        <v>45</v>
      </c>
      <c r="K28" s="30" t="s">
        <v>86</v>
      </c>
      <c r="L28" s="21">
        <v>44742</v>
      </c>
      <c r="M28" s="22"/>
      <c r="N28" s="19" t="str">
        <f t="shared" si="0"/>
        <v>Closed</v>
      </c>
      <c r="O28" s="24">
        <f t="shared" si="1"/>
        <v>1370</v>
      </c>
      <c r="P28" s="24" t="str">
        <f t="shared" si="3"/>
        <v>Closed</v>
      </c>
      <c r="Q28" s="17" t="e">
        <v>#N/A</v>
      </c>
    </row>
    <row r="29" spans="1:17" ht="41.4" x14ac:dyDescent="0.3">
      <c r="A29" s="15">
        <f t="shared" si="2"/>
        <v>26</v>
      </c>
      <c r="B29" s="15" t="s">
        <v>19</v>
      </c>
      <c r="C29" s="15">
        <v>2021</v>
      </c>
      <c r="D29" s="15" t="s">
        <v>81</v>
      </c>
      <c r="E29" s="16" t="s">
        <v>82</v>
      </c>
      <c r="F29" s="25" t="s">
        <v>119</v>
      </c>
      <c r="G29" s="26" t="s">
        <v>120</v>
      </c>
      <c r="H29" s="31" t="s">
        <v>121</v>
      </c>
      <c r="I29" s="19" t="s">
        <v>50</v>
      </c>
      <c r="J29" s="20" t="s">
        <v>55</v>
      </c>
      <c r="K29" s="30" t="s">
        <v>86</v>
      </c>
      <c r="L29" s="21">
        <v>44742</v>
      </c>
      <c r="M29" s="22"/>
      <c r="N29" s="19" t="str">
        <f t="shared" si="0"/>
        <v>Closed</v>
      </c>
      <c r="O29" s="24">
        <f t="shared" si="1"/>
        <v>1370</v>
      </c>
      <c r="P29" s="24" t="str">
        <f t="shared" si="3"/>
        <v>Closed</v>
      </c>
      <c r="Q29" s="17" t="e">
        <v>#N/A</v>
      </c>
    </row>
    <row r="30" spans="1:17" ht="41.4" x14ac:dyDescent="0.3">
      <c r="A30" s="15">
        <f t="shared" si="2"/>
        <v>27</v>
      </c>
      <c r="B30" s="15" t="s">
        <v>19</v>
      </c>
      <c r="C30" s="15">
        <v>2021</v>
      </c>
      <c r="D30" s="15" t="s">
        <v>81</v>
      </c>
      <c r="E30" s="16" t="s">
        <v>82</v>
      </c>
      <c r="F30" s="25" t="s">
        <v>122</v>
      </c>
      <c r="G30" s="26" t="s">
        <v>123</v>
      </c>
      <c r="H30" s="31" t="s">
        <v>124</v>
      </c>
      <c r="I30" s="19" t="s">
        <v>50</v>
      </c>
      <c r="J30" s="20" t="s">
        <v>45</v>
      </c>
      <c r="K30" s="30" t="s">
        <v>86</v>
      </c>
      <c r="L30" s="21">
        <v>44742</v>
      </c>
      <c r="M30" s="23"/>
      <c r="N30" s="19" t="str">
        <f t="shared" si="0"/>
        <v>Closed</v>
      </c>
      <c r="O30" s="24">
        <f t="shared" si="1"/>
        <v>1370</v>
      </c>
      <c r="P30" s="24" t="str">
        <f t="shared" si="3"/>
        <v>Closed</v>
      </c>
      <c r="Q30" s="17" t="e">
        <v>#N/A</v>
      </c>
    </row>
    <row r="31" spans="1:17" ht="55.2" x14ac:dyDescent="0.3">
      <c r="A31" s="15">
        <f t="shared" si="2"/>
        <v>28</v>
      </c>
      <c r="B31" s="15" t="s">
        <v>19</v>
      </c>
      <c r="C31" s="15">
        <v>2021</v>
      </c>
      <c r="D31" s="15" t="s">
        <v>81</v>
      </c>
      <c r="E31" s="16" t="s">
        <v>82</v>
      </c>
      <c r="F31" s="25" t="s">
        <v>125</v>
      </c>
      <c r="G31" s="18" t="s">
        <v>126</v>
      </c>
      <c r="H31" s="25" t="s">
        <v>127</v>
      </c>
      <c r="I31" s="19" t="s">
        <v>50</v>
      </c>
      <c r="J31" s="20" t="s">
        <v>55</v>
      </c>
      <c r="K31" s="30" t="s">
        <v>86</v>
      </c>
      <c r="L31" s="21">
        <v>44742</v>
      </c>
      <c r="M31" s="22"/>
      <c r="N31" s="19" t="str">
        <f t="shared" si="0"/>
        <v>Closed</v>
      </c>
      <c r="O31" s="24">
        <f t="shared" si="1"/>
        <v>1370</v>
      </c>
      <c r="P31" s="24" t="str">
        <f t="shared" si="3"/>
        <v>Closed</v>
      </c>
      <c r="Q31" s="17" t="e">
        <v>#N/A</v>
      </c>
    </row>
    <row r="32" spans="1:17" ht="179.4" x14ac:dyDescent="0.3">
      <c r="A32" s="15">
        <f t="shared" si="2"/>
        <v>29</v>
      </c>
      <c r="B32" s="15" t="s">
        <v>19</v>
      </c>
      <c r="C32" s="15">
        <v>2021</v>
      </c>
      <c r="D32" s="15" t="s">
        <v>81</v>
      </c>
      <c r="E32" s="16" t="s">
        <v>82</v>
      </c>
      <c r="F32" s="25" t="s">
        <v>128</v>
      </c>
      <c r="G32" s="26" t="s">
        <v>129</v>
      </c>
      <c r="H32" s="31" t="s">
        <v>130</v>
      </c>
      <c r="I32" s="19" t="s">
        <v>50</v>
      </c>
      <c r="J32" s="20" t="s">
        <v>26</v>
      </c>
      <c r="K32" s="30" t="s">
        <v>86</v>
      </c>
      <c r="L32" s="21">
        <v>44742</v>
      </c>
      <c r="M32" s="22"/>
      <c r="N32" s="19" t="str">
        <f t="shared" si="0"/>
        <v>Closed</v>
      </c>
      <c r="O32" s="24">
        <f t="shared" si="1"/>
        <v>1370</v>
      </c>
      <c r="P32" s="24" t="str">
        <f t="shared" si="3"/>
        <v>Closed</v>
      </c>
      <c r="Q32" s="17" t="e">
        <v>#N/A</v>
      </c>
    </row>
    <row r="33" spans="1:18" ht="96.6" x14ac:dyDescent="0.3">
      <c r="A33" s="15">
        <f t="shared" si="2"/>
        <v>30</v>
      </c>
      <c r="B33" s="15" t="s">
        <v>19</v>
      </c>
      <c r="C33" s="15">
        <v>2021</v>
      </c>
      <c r="D33" s="15" t="s">
        <v>81</v>
      </c>
      <c r="E33" s="16" t="s">
        <v>82</v>
      </c>
      <c r="F33" s="30" t="s">
        <v>131</v>
      </c>
      <c r="G33" s="26" t="s">
        <v>132</v>
      </c>
      <c r="H33" s="25" t="s">
        <v>133</v>
      </c>
      <c r="I33" s="19" t="s">
        <v>50</v>
      </c>
      <c r="J33" s="20" t="s">
        <v>55</v>
      </c>
      <c r="K33" s="30" t="s">
        <v>86</v>
      </c>
      <c r="L33" s="21">
        <v>44742</v>
      </c>
      <c r="M33" s="23"/>
      <c r="N33" s="19" t="str">
        <f t="shared" si="0"/>
        <v>Closed</v>
      </c>
      <c r="O33" s="24">
        <f t="shared" si="1"/>
        <v>1370</v>
      </c>
      <c r="P33" s="24" t="str">
        <f t="shared" si="3"/>
        <v>Closed</v>
      </c>
      <c r="Q33" s="17" t="e">
        <v>#N/A</v>
      </c>
    </row>
    <row r="34" spans="1:18" ht="55.2" x14ac:dyDescent="0.3">
      <c r="A34" s="15">
        <f t="shared" si="2"/>
        <v>31</v>
      </c>
      <c r="B34" s="15" t="s">
        <v>19</v>
      </c>
      <c r="C34" s="15">
        <v>2021</v>
      </c>
      <c r="D34" s="15" t="s">
        <v>81</v>
      </c>
      <c r="E34" s="16" t="s">
        <v>82</v>
      </c>
      <c r="F34" s="30" t="s">
        <v>134</v>
      </c>
      <c r="G34" s="26" t="s">
        <v>135</v>
      </c>
      <c r="H34" s="25" t="s">
        <v>136</v>
      </c>
      <c r="I34" s="19" t="s">
        <v>50</v>
      </c>
      <c r="J34" s="20" t="s">
        <v>55</v>
      </c>
      <c r="K34" s="30" t="s">
        <v>86</v>
      </c>
      <c r="L34" s="21">
        <v>44742</v>
      </c>
      <c r="M34" s="22"/>
      <c r="N34" s="19" t="str">
        <f t="shared" si="0"/>
        <v>Closed</v>
      </c>
      <c r="O34" s="24">
        <f t="shared" si="1"/>
        <v>1370</v>
      </c>
      <c r="P34" s="24" t="str">
        <f t="shared" si="3"/>
        <v>Closed</v>
      </c>
      <c r="Q34" s="17" t="e">
        <v>#N/A</v>
      </c>
    </row>
    <row r="35" spans="1:18" ht="110.4" x14ac:dyDescent="0.3">
      <c r="A35" s="15">
        <f t="shared" si="2"/>
        <v>32</v>
      </c>
      <c r="B35" s="15" t="s">
        <v>19</v>
      </c>
      <c r="C35" s="15">
        <v>2021</v>
      </c>
      <c r="D35" s="15" t="s">
        <v>81</v>
      </c>
      <c r="E35" s="16" t="s">
        <v>82</v>
      </c>
      <c r="F35" s="25" t="s">
        <v>137</v>
      </c>
      <c r="G35" s="26" t="s">
        <v>138</v>
      </c>
      <c r="H35" s="25" t="s">
        <v>139</v>
      </c>
      <c r="I35" s="19" t="s">
        <v>50</v>
      </c>
      <c r="J35" s="20" t="s">
        <v>55</v>
      </c>
      <c r="K35" s="30" t="s">
        <v>86</v>
      </c>
      <c r="L35" s="21">
        <v>44742</v>
      </c>
      <c r="M35" s="22"/>
      <c r="N35" s="19" t="str">
        <f t="shared" si="0"/>
        <v>Closed</v>
      </c>
      <c r="O35" s="24">
        <f t="shared" si="1"/>
        <v>1370</v>
      </c>
      <c r="P35" s="24" t="str">
        <f t="shared" si="3"/>
        <v>Closed</v>
      </c>
      <c r="Q35" s="17" t="e">
        <v>#N/A</v>
      </c>
      <c r="R35" s="1">
        <f>50000-13400</f>
        <v>36600</v>
      </c>
    </row>
    <row r="36" spans="1:18" ht="151.80000000000001" x14ac:dyDescent="0.3">
      <c r="A36" s="15">
        <f t="shared" si="2"/>
        <v>33</v>
      </c>
      <c r="B36" s="15" t="s">
        <v>19</v>
      </c>
      <c r="C36" s="15">
        <v>2022</v>
      </c>
      <c r="D36" s="30" t="s">
        <v>140</v>
      </c>
      <c r="E36" s="25" t="s">
        <v>140</v>
      </c>
      <c r="F36" s="25" t="s">
        <v>141</v>
      </c>
      <c r="G36" s="26" t="s">
        <v>142</v>
      </c>
      <c r="H36" s="25" t="s">
        <v>143</v>
      </c>
      <c r="I36" s="19" t="s">
        <v>50</v>
      </c>
      <c r="J36" s="20" t="s">
        <v>26</v>
      </c>
      <c r="K36" s="30" t="s">
        <v>144</v>
      </c>
      <c r="L36" s="21">
        <v>44926</v>
      </c>
      <c r="M36" s="23"/>
      <c r="N36" s="19" t="str">
        <f t="shared" si="0"/>
        <v>Closed</v>
      </c>
      <c r="O36" s="24">
        <f t="shared" si="1"/>
        <v>1186</v>
      </c>
      <c r="P36" s="24" t="str">
        <f t="shared" si="3"/>
        <v>Closed</v>
      </c>
      <c r="Q36" s="17" t="e">
        <v>#N/A</v>
      </c>
    </row>
    <row r="37" spans="1:18" ht="303.60000000000002" x14ac:dyDescent="0.3">
      <c r="A37" s="15">
        <f t="shared" si="2"/>
        <v>34</v>
      </c>
      <c r="B37" s="15" t="s">
        <v>19</v>
      </c>
      <c r="C37" s="15">
        <v>2022</v>
      </c>
      <c r="D37" s="30" t="s">
        <v>140</v>
      </c>
      <c r="E37" s="25" t="s">
        <v>140</v>
      </c>
      <c r="F37" s="25" t="s">
        <v>145</v>
      </c>
      <c r="G37" s="26" t="s">
        <v>146</v>
      </c>
      <c r="H37" s="25" t="s">
        <v>147</v>
      </c>
      <c r="I37" s="19" t="s">
        <v>50</v>
      </c>
      <c r="J37" s="20" t="s">
        <v>26</v>
      </c>
      <c r="K37" s="30" t="s">
        <v>144</v>
      </c>
      <c r="L37" s="21">
        <v>44926</v>
      </c>
      <c r="M37" s="23"/>
      <c r="N37" s="19" t="str">
        <f t="shared" si="0"/>
        <v>Closed</v>
      </c>
      <c r="O37" s="24">
        <f t="shared" si="1"/>
        <v>1186</v>
      </c>
      <c r="P37" s="24" t="str">
        <f t="shared" si="3"/>
        <v>Closed</v>
      </c>
      <c r="Q37" s="17" t="e">
        <v>#N/A</v>
      </c>
    </row>
    <row r="38" spans="1:18" ht="110.4" x14ac:dyDescent="0.3">
      <c r="A38" s="15">
        <f t="shared" si="2"/>
        <v>35</v>
      </c>
      <c r="B38" s="15" t="s">
        <v>19</v>
      </c>
      <c r="C38" s="15">
        <v>2022</v>
      </c>
      <c r="D38" s="30" t="s">
        <v>140</v>
      </c>
      <c r="E38" s="25" t="s">
        <v>140</v>
      </c>
      <c r="F38" s="25" t="s">
        <v>148</v>
      </c>
      <c r="G38" s="26" t="s">
        <v>149</v>
      </c>
      <c r="H38" s="25" t="s">
        <v>150</v>
      </c>
      <c r="I38" s="19" t="s">
        <v>50</v>
      </c>
      <c r="J38" s="20" t="s">
        <v>55</v>
      </c>
      <c r="K38" s="30" t="s">
        <v>144</v>
      </c>
      <c r="L38" s="21">
        <v>44926</v>
      </c>
      <c r="M38" s="23"/>
      <c r="N38" s="19" t="str">
        <f t="shared" si="0"/>
        <v>Closed</v>
      </c>
      <c r="O38" s="24">
        <f t="shared" si="1"/>
        <v>1186</v>
      </c>
      <c r="P38" s="24" t="str">
        <f t="shared" si="3"/>
        <v>Closed</v>
      </c>
      <c r="Q38" s="17" t="e">
        <v>#N/A</v>
      </c>
    </row>
    <row r="39" spans="1:18" ht="69" x14ac:dyDescent="0.3">
      <c r="A39" s="15">
        <f t="shared" si="2"/>
        <v>36</v>
      </c>
      <c r="B39" s="15" t="s">
        <v>19</v>
      </c>
      <c r="C39" s="15">
        <v>2022</v>
      </c>
      <c r="D39" s="30" t="s">
        <v>140</v>
      </c>
      <c r="E39" s="25" t="s">
        <v>140</v>
      </c>
      <c r="F39" s="25" t="s">
        <v>151</v>
      </c>
      <c r="G39" s="26" t="s">
        <v>152</v>
      </c>
      <c r="H39" s="25" t="s">
        <v>153</v>
      </c>
      <c r="I39" s="19" t="s">
        <v>50</v>
      </c>
      <c r="J39" s="20" t="s">
        <v>45</v>
      </c>
      <c r="K39" s="30" t="s">
        <v>144</v>
      </c>
      <c r="L39" s="21">
        <v>44926</v>
      </c>
      <c r="M39" s="23"/>
      <c r="N39" s="19" t="str">
        <f t="shared" si="0"/>
        <v>Closed</v>
      </c>
      <c r="O39" s="24">
        <f t="shared" si="1"/>
        <v>1186</v>
      </c>
      <c r="P39" s="24" t="str">
        <f t="shared" si="3"/>
        <v>Closed</v>
      </c>
      <c r="Q39" s="17" t="e">
        <v>#N/A</v>
      </c>
    </row>
    <row r="40" spans="1:18" ht="55.2" x14ac:dyDescent="0.3">
      <c r="A40" s="15">
        <f t="shared" si="2"/>
        <v>37</v>
      </c>
      <c r="B40" s="15" t="s">
        <v>19</v>
      </c>
      <c r="C40" s="15">
        <v>2022</v>
      </c>
      <c r="D40" s="30" t="s">
        <v>140</v>
      </c>
      <c r="E40" s="25" t="s">
        <v>140</v>
      </c>
      <c r="F40" s="25" t="s">
        <v>154</v>
      </c>
      <c r="G40" s="26" t="s">
        <v>155</v>
      </c>
      <c r="H40" s="25" t="s">
        <v>156</v>
      </c>
      <c r="I40" s="29" t="s">
        <v>79</v>
      </c>
      <c r="J40" s="20" t="s">
        <v>55</v>
      </c>
      <c r="K40" s="30" t="s">
        <v>144</v>
      </c>
      <c r="L40" s="21">
        <v>44926</v>
      </c>
      <c r="M40" s="23">
        <v>45657</v>
      </c>
      <c r="N40" s="19" t="str">
        <f t="shared" si="0"/>
        <v>Open Due</v>
      </c>
      <c r="O40" s="24">
        <f t="shared" si="1"/>
        <v>1186</v>
      </c>
      <c r="P40" s="24" t="str">
        <f t="shared" si="3"/>
        <v>above one year</v>
      </c>
      <c r="Q40" s="17" t="s">
        <v>157</v>
      </c>
    </row>
    <row r="41" spans="1:18" ht="234" customHeight="1" x14ac:dyDescent="0.3">
      <c r="A41" s="15">
        <f t="shared" si="2"/>
        <v>38</v>
      </c>
      <c r="B41" s="15" t="s">
        <v>19</v>
      </c>
      <c r="C41" s="15">
        <v>2022</v>
      </c>
      <c r="D41" s="30" t="s">
        <v>158</v>
      </c>
      <c r="E41" s="25" t="s">
        <v>158</v>
      </c>
      <c r="F41" s="25" t="s">
        <v>159</v>
      </c>
      <c r="G41" s="26" t="s">
        <v>160</v>
      </c>
      <c r="H41" s="25" t="s">
        <v>161</v>
      </c>
      <c r="I41" s="19" t="s">
        <v>50</v>
      </c>
      <c r="J41" s="20" t="s">
        <v>26</v>
      </c>
      <c r="K41" s="24" t="s">
        <v>162</v>
      </c>
      <c r="L41" s="33">
        <v>45016</v>
      </c>
      <c r="M41" s="23"/>
      <c r="N41" s="19" t="str">
        <f t="shared" si="0"/>
        <v>Closed</v>
      </c>
      <c r="O41" s="24">
        <f t="shared" si="1"/>
        <v>1096</v>
      </c>
      <c r="P41" s="24" t="str">
        <f t="shared" si="3"/>
        <v>Closed</v>
      </c>
      <c r="Q41" s="17" t="e">
        <v>#N/A</v>
      </c>
    </row>
    <row r="42" spans="1:18" ht="143.1" customHeight="1" x14ac:dyDescent="0.3">
      <c r="A42" s="15">
        <f t="shared" si="2"/>
        <v>39</v>
      </c>
      <c r="B42" s="15" t="s">
        <v>19</v>
      </c>
      <c r="C42" s="15">
        <v>2022</v>
      </c>
      <c r="D42" s="30" t="s">
        <v>158</v>
      </c>
      <c r="E42" s="25" t="s">
        <v>158</v>
      </c>
      <c r="F42" s="25" t="s">
        <v>163</v>
      </c>
      <c r="G42" s="26" t="s">
        <v>164</v>
      </c>
      <c r="H42" s="25" t="s">
        <v>165</v>
      </c>
      <c r="I42" s="19" t="s">
        <v>50</v>
      </c>
      <c r="J42" s="20" t="s">
        <v>45</v>
      </c>
      <c r="K42" s="24" t="s">
        <v>162</v>
      </c>
      <c r="L42" s="33">
        <v>45016</v>
      </c>
      <c r="M42" s="22"/>
      <c r="N42" s="19" t="str">
        <f t="shared" si="0"/>
        <v>Closed</v>
      </c>
      <c r="O42" s="24">
        <f t="shared" si="1"/>
        <v>1096</v>
      </c>
      <c r="P42" s="24" t="str">
        <f t="shared" si="3"/>
        <v>Closed</v>
      </c>
      <c r="Q42" s="17" t="e">
        <v>#N/A</v>
      </c>
    </row>
    <row r="43" spans="1:18" ht="208.2" customHeight="1" x14ac:dyDescent="0.3">
      <c r="A43" s="15">
        <f t="shared" si="2"/>
        <v>40</v>
      </c>
      <c r="B43" s="15" t="s">
        <v>19</v>
      </c>
      <c r="C43" s="15">
        <v>2022</v>
      </c>
      <c r="D43" s="30" t="s">
        <v>158</v>
      </c>
      <c r="E43" s="25" t="s">
        <v>158</v>
      </c>
      <c r="F43" s="25" t="s">
        <v>166</v>
      </c>
      <c r="G43" s="26" t="s">
        <v>167</v>
      </c>
      <c r="H43" s="25" t="s">
        <v>168</v>
      </c>
      <c r="I43" s="19" t="s">
        <v>50</v>
      </c>
      <c r="J43" s="20" t="s">
        <v>26</v>
      </c>
      <c r="K43" s="24" t="s">
        <v>162</v>
      </c>
      <c r="L43" s="33">
        <v>45291</v>
      </c>
      <c r="M43" s="23"/>
      <c r="N43" s="19" t="str">
        <f t="shared" si="0"/>
        <v>Closed</v>
      </c>
      <c r="O43" s="24">
        <f t="shared" si="1"/>
        <v>821</v>
      </c>
      <c r="P43" s="24" t="str">
        <f t="shared" si="3"/>
        <v>Closed</v>
      </c>
      <c r="Q43" s="17" t="e">
        <v>#N/A</v>
      </c>
    </row>
    <row r="44" spans="1:18" ht="247.2" customHeight="1" x14ac:dyDescent="0.3">
      <c r="A44" s="15">
        <f t="shared" si="2"/>
        <v>41</v>
      </c>
      <c r="B44" s="15" t="s">
        <v>19</v>
      </c>
      <c r="C44" s="15">
        <v>2022</v>
      </c>
      <c r="D44" s="30" t="s">
        <v>158</v>
      </c>
      <c r="E44" s="25" t="s">
        <v>158</v>
      </c>
      <c r="F44" s="25" t="s">
        <v>169</v>
      </c>
      <c r="G44" s="26" t="s">
        <v>170</v>
      </c>
      <c r="H44" s="25" t="s">
        <v>171</v>
      </c>
      <c r="I44" s="19" t="s">
        <v>50</v>
      </c>
      <c r="J44" s="20" t="s">
        <v>26</v>
      </c>
      <c r="K44" s="24" t="s">
        <v>162</v>
      </c>
      <c r="L44" s="33">
        <v>45016</v>
      </c>
      <c r="M44" s="23">
        <v>45565</v>
      </c>
      <c r="N44" s="19" t="str">
        <f t="shared" si="0"/>
        <v>Open Due</v>
      </c>
      <c r="O44" s="24">
        <f t="shared" si="1"/>
        <v>1096</v>
      </c>
      <c r="P44" s="24" t="str">
        <f t="shared" si="3"/>
        <v>above one year</v>
      </c>
      <c r="Q44" s="17" t="s">
        <v>172</v>
      </c>
    </row>
    <row r="45" spans="1:18" ht="273" customHeight="1" x14ac:dyDescent="0.3">
      <c r="A45" s="15">
        <f t="shared" si="2"/>
        <v>42</v>
      </c>
      <c r="B45" s="15" t="s">
        <v>19</v>
      </c>
      <c r="C45" s="15">
        <v>2022</v>
      </c>
      <c r="D45" s="30" t="s">
        <v>158</v>
      </c>
      <c r="E45" s="25" t="s">
        <v>158</v>
      </c>
      <c r="F45" s="25" t="s">
        <v>173</v>
      </c>
      <c r="G45" s="26" t="s">
        <v>174</v>
      </c>
      <c r="H45" s="25" t="s">
        <v>175</v>
      </c>
      <c r="I45" s="19" t="s">
        <v>50</v>
      </c>
      <c r="J45" s="20" t="s">
        <v>26</v>
      </c>
      <c r="K45" s="24" t="s">
        <v>162</v>
      </c>
      <c r="L45" s="33">
        <v>45016</v>
      </c>
      <c r="M45" s="23"/>
      <c r="N45" s="19" t="str">
        <f t="shared" si="0"/>
        <v>Closed</v>
      </c>
      <c r="O45" s="24">
        <f t="shared" si="1"/>
        <v>1096</v>
      </c>
      <c r="P45" s="24" t="str">
        <f t="shared" si="3"/>
        <v>Closed</v>
      </c>
      <c r="Q45" s="17" t="e">
        <v>#N/A</v>
      </c>
    </row>
    <row r="46" spans="1:18" ht="117" customHeight="1" x14ac:dyDescent="0.3">
      <c r="A46" s="15">
        <f t="shared" si="2"/>
        <v>43</v>
      </c>
      <c r="B46" s="15" t="s">
        <v>19</v>
      </c>
      <c r="C46" s="15">
        <v>2022</v>
      </c>
      <c r="D46" s="30" t="s">
        <v>158</v>
      </c>
      <c r="E46" s="25" t="s">
        <v>158</v>
      </c>
      <c r="F46" s="25" t="s">
        <v>176</v>
      </c>
      <c r="G46" s="26" t="s">
        <v>177</v>
      </c>
      <c r="H46" s="25" t="s">
        <v>178</v>
      </c>
      <c r="I46" s="29" t="s">
        <v>50</v>
      </c>
      <c r="J46" s="19" t="s">
        <v>26</v>
      </c>
      <c r="K46" s="24" t="s">
        <v>162</v>
      </c>
      <c r="L46" s="33">
        <v>45016</v>
      </c>
      <c r="M46" s="22"/>
      <c r="N46" s="19" t="str">
        <f t="shared" si="0"/>
        <v>Closed</v>
      </c>
      <c r="O46" s="24">
        <f t="shared" si="1"/>
        <v>1096</v>
      </c>
      <c r="P46" s="24" t="str">
        <f t="shared" si="3"/>
        <v>Closed</v>
      </c>
      <c r="Q46" s="17" t="e">
        <v>#N/A</v>
      </c>
    </row>
    <row r="47" spans="1:18" ht="409.6" x14ac:dyDescent="0.3">
      <c r="A47" s="15">
        <f t="shared" si="2"/>
        <v>44</v>
      </c>
      <c r="B47" s="15" t="s">
        <v>19</v>
      </c>
      <c r="C47" s="15">
        <v>2022</v>
      </c>
      <c r="D47" s="30" t="s">
        <v>158</v>
      </c>
      <c r="E47" s="25" t="s">
        <v>158</v>
      </c>
      <c r="F47" s="25" t="s">
        <v>179</v>
      </c>
      <c r="G47" s="26" t="s">
        <v>180</v>
      </c>
      <c r="H47" s="26" t="s">
        <v>181</v>
      </c>
      <c r="I47" s="19" t="s">
        <v>50</v>
      </c>
      <c r="J47" s="20" t="s">
        <v>55</v>
      </c>
      <c r="K47" s="24" t="s">
        <v>162</v>
      </c>
      <c r="L47" s="33">
        <v>45291</v>
      </c>
      <c r="M47" s="23">
        <v>45657</v>
      </c>
      <c r="N47" s="19" t="str">
        <f t="shared" si="0"/>
        <v>Open Due</v>
      </c>
      <c r="O47" s="24">
        <f t="shared" si="1"/>
        <v>821</v>
      </c>
      <c r="P47" s="24" t="str">
        <f t="shared" si="3"/>
        <v>above one year</v>
      </c>
      <c r="Q47" s="17" t="s">
        <v>182</v>
      </c>
    </row>
    <row r="48" spans="1:18" ht="165.6" x14ac:dyDescent="0.3">
      <c r="A48" s="15">
        <f t="shared" si="2"/>
        <v>45</v>
      </c>
      <c r="B48" s="15" t="s">
        <v>19</v>
      </c>
      <c r="C48" s="15">
        <v>2022</v>
      </c>
      <c r="D48" s="30" t="s">
        <v>158</v>
      </c>
      <c r="E48" s="25" t="s">
        <v>158</v>
      </c>
      <c r="F48" s="25" t="s">
        <v>183</v>
      </c>
      <c r="G48" s="18" t="s">
        <v>184</v>
      </c>
      <c r="H48" s="25" t="s">
        <v>185</v>
      </c>
      <c r="I48" s="19" t="s">
        <v>50</v>
      </c>
      <c r="J48" s="20" t="s">
        <v>37</v>
      </c>
      <c r="K48" s="24" t="s">
        <v>162</v>
      </c>
      <c r="L48" s="33">
        <v>45016</v>
      </c>
      <c r="M48" s="23"/>
      <c r="N48" s="19" t="str">
        <f t="shared" si="0"/>
        <v>Closed</v>
      </c>
      <c r="O48" s="24">
        <f t="shared" si="1"/>
        <v>1096</v>
      </c>
      <c r="P48" s="24" t="str">
        <f t="shared" si="3"/>
        <v>Closed</v>
      </c>
      <c r="Q48" s="17" t="e">
        <v>#N/A</v>
      </c>
    </row>
    <row r="49" spans="1:17" ht="78" customHeight="1" x14ac:dyDescent="0.3">
      <c r="A49" s="15">
        <f t="shared" si="2"/>
        <v>46</v>
      </c>
      <c r="B49" s="15" t="s">
        <v>19</v>
      </c>
      <c r="C49" s="15">
        <v>2022</v>
      </c>
      <c r="D49" s="30" t="s">
        <v>158</v>
      </c>
      <c r="E49" s="25" t="s">
        <v>158</v>
      </c>
      <c r="F49" s="25" t="s">
        <v>186</v>
      </c>
      <c r="G49" s="26" t="s">
        <v>187</v>
      </c>
      <c r="H49" s="25" t="s">
        <v>188</v>
      </c>
      <c r="I49" s="19" t="s">
        <v>50</v>
      </c>
      <c r="J49" s="20" t="s">
        <v>26</v>
      </c>
      <c r="K49" s="24" t="s">
        <v>162</v>
      </c>
      <c r="L49" s="21">
        <v>45291</v>
      </c>
      <c r="M49" s="23">
        <v>45657</v>
      </c>
      <c r="N49" s="19" t="str">
        <f t="shared" si="0"/>
        <v>Open Due</v>
      </c>
      <c r="O49" s="24">
        <f t="shared" si="1"/>
        <v>821</v>
      </c>
      <c r="P49" s="24" t="str">
        <f t="shared" si="3"/>
        <v>above one year</v>
      </c>
      <c r="Q49" s="17" t="s">
        <v>189</v>
      </c>
    </row>
    <row r="50" spans="1:17" ht="221.1" customHeight="1" x14ac:dyDescent="0.3">
      <c r="A50" s="15">
        <f t="shared" si="2"/>
        <v>47</v>
      </c>
      <c r="B50" s="15" t="s">
        <v>19</v>
      </c>
      <c r="C50" s="15">
        <v>2022</v>
      </c>
      <c r="D50" s="30" t="s">
        <v>158</v>
      </c>
      <c r="E50" s="25" t="s">
        <v>158</v>
      </c>
      <c r="F50" s="25" t="s">
        <v>190</v>
      </c>
      <c r="G50" s="26" t="s">
        <v>191</v>
      </c>
      <c r="H50" s="25" t="s">
        <v>192</v>
      </c>
      <c r="I50" s="29" t="s">
        <v>79</v>
      </c>
      <c r="J50" s="20" t="s">
        <v>55</v>
      </c>
      <c r="K50" s="24" t="s">
        <v>162</v>
      </c>
      <c r="L50" s="21">
        <v>45016</v>
      </c>
      <c r="M50" s="22"/>
      <c r="N50" s="19" t="str">
        <f t="shared" si="0"/>
        <v>Closed</v>
      </c>
      <c r="O50" s="24">
        <f t="shared" si="1"/>
        <v>1096</v>
      </c>
      <c r="P50" s="24" t="str">
        <f t="shared" si="3"/>
        <v>Closed</v>
      </c>
      <c r="Q50" s="17" t="e">
        <v>#N/A</v>
      </c>
    </row>
    <row r="51" spans="1:17" ht="195" customHeight="1" x14ac:dyDescent="0.3">
      <c r="A51" s="15">
        <f t="shared" si="2"/>
        <v>48</v>
      </c>
      <c r="B51" s="15" t="s">
        <v>19</v>
      </c>
      <c r="C51" s="15">
        <v>2022</v>
      </c>
      <c r="D51" s="17" t="s">
        <v>193</v>
      </c>
      <c r="E51" s="17" t="s">
        <v>193</v>
      </c>
      <c r="F51" s="25" t="s">
        <v>194</v>
      </c>
      <c r="G51" s="26" t="s">
        <v>195</v>
      </c>
      <c r="H51" s="25" t="s">
        <v>196</v>
      </c>
      <c r="I51" s="19" t="s">
        <v>50</v>
      </c>
      <c r="J51" s="20" t="s">
        <v>26</v>
      </c>
      <c r="K51" s="30" t="s">
        <v>197</v>
      </c>
      <c r="L51" s="21">
        <v>45016</v>
      </c>
      <c r="M51" s="23">
        <v>45657</v>
      </c>
      <c r="N51" s="19" t="str">
        <f t="shared" si="0"/>
        <v>Open Due</v>
      </c>
      <c r="O51" s="24">
        <f t="shared" si="1"/>
        <v>1096</v>
      </c>
      <c r="P51" s="24" t="str">
        <f t="shared" si="3"/>
        <v>above one year</v>
      </c>
      <c r="Q51" s="17" t="s">
        <v>198</v>
      </c>
    </row>
    <row r="52" spans="1:17" ht="169.2" customHeight="1" x14ac:dyDescent="0.3">
      <c r="A52" s="15">
        <f t="shared" si="2"/>
        <v>49</v>
      </c>
      <c r="B52" s="15" t="s">
        <v>19</v>
      </c>
      <c r="C52" s="15">
        <v>2022</v>
      </c>
      <c r="D52" s="17" t="s">
        <v>193</v>
      </c>
      <c r="E52" s="17" t="s">
        <v>193</v>
      </c>
      <c r="F52" s="25" t="s">
        <v>199</v>
      </c>
      <c r="G52" s="26" t="s">
        <v>200</v>
      </c>
      <c r="H52" s="25" t="s">
        <v>201</v>
      </c>
      <c r="I52" s="19" t="s">
        <v>50</v>
      </c>
      <c r="J52" s="20" t="s">
        <v>26</v>
      </c>
      <c r="K52" s="30" t="s">
        <v>197</v>
      </c>
      <c r="L52" s="21">
        <v>45046</v>
      </c>
      <c r="M52" s="23">
        <v>45657</v>
      </c>
      <c r="N52" s="19" t="str">
        <f t="shared" si="0"/>
        <v>Open Due</v>
      </c>
      <c r="O52" s="24">
        <f t="shared" si="1"/>
        <v>1066</v>
      </c>
      <c r="P52" s="24" t="str">
        <f t="shared" si="3"/>
        <v>above one year</v>
      </c>
      <c r="Q52" s="17" t="s">
        <v>198</v>
      </c>
    </row>
    <row r="53" spans="1:17" ht="260.10000000000002" customHeight="1" x14ac:dyDescent="0.3">
      <c r="A53" s="15">
        <f t="shared" si="2"/>
        <v>50</v>
      </c>
      <c r="B53" s="15" t="s">
        <v>19</v>
      </c>
      <c r="C53" s="15">
        <v>2022</v>
      </c>
      <c r="D53" s="17" t="s">
        <v>193</v>
      </c>
      <c r="E53" s="17" t="s">
        <v>193</v>
      </c>
      <c r="F53" s="25" t="s">
        <v>202</v>
      </c>
      <c r="G53" s="26" t="s">
        <v>203</v>
      </c>
      <c r="H53" s="25" t="s">
        <v>204</v>
      </c>
      <c r="I53" s="19" t="s">
        <v>50</v>
      </c>
      <c r="J53" s="20" t="s">
        <v>55</v>
      </c>
      <c r="K53" s="30" t="s">
        <v>197</v>
      </c>
      <c r="L53" s="21">
        <v>45046</v>
      </c>
      <c r="M53" s="22"/>
      <c r="N53" s="19" t="str">
        <f t="shared" si="0"/>
        <v>Closed</v>
      </c>
      <c r="O53" s="24">
        <f t="shared" si="1"/>
        <v>1066</v>
      </c>
      <c r="P53" s="24" t="str">
        <f t="shared" si="3"/>
        <v>Closed</v>
      </c>
      <c r="Q53" s="17" t="e">
        <v>#N/A</v>
      </c>
    </row>
    <row r="54" spans="1:17" ht="117" customHeight="1" x14ac:dyDescent="0.3">
      <c r="A54" s="15">
        <f t="shared" si="2"/>
        <v>51</v>
      </c>
      <c r="B54" s="15" t="s">
        <v>19</v>
      </c>
      <c r="C54" s="15">
        <v>2022</v>
      </c>
      <c r="D54" s="17" t="s">
        <v>193</v>
      </c>
      <c r="E54" s="17" t="s">
        <v>193</v>
      </c>
      <c r="F54" s="25" t="s">
        <v>205</v>
      </c>
      <c r="G54" s="26" t="s">
        <v>206</v>
      </c>
      <c r="H54" s="25" t="s">
        <v>207</v>
      </c>
      <c r="I54" s="19" t="s">
        <v>50</v>
      </c>
      <c r="J54" s="20" t="s">
        <v>26</v>
      </c>
      <c r="K54" s="30" t="s">
        <v>197</v>
      </c>
      <c r="L54" s="21">
        <v>45046</v>
      </c>
      <c r="M54" s="23"/>
      <c r="N54" s="19" t="str">
        <f t="shared" si="0"/>
        <v>Closed</v>
      </c>
      <c r="O54" s="24">
        <f t="shared" si="1"/>
        <v>1066</v>
      </c>
      <c r="P54" s="24" t="str">
        <f t="shared" si="3"/>
        <v>Closed</v>
      </c>
      <c r="Q54" s="17" t="e">
        <v>#N/A</v>
      </c>
    </row>
    <row r="55" spans="1:17" ht="55.2" x14ac:dyDescent="0.3">
      <c r="A55" s="15">
        <f t="shared" si="2"/>
        <v>52</v>
      </c>
      <c r="B55" s="15" t="s">
        <v>19</v>
      </c>
      <c r="C55" s="15">
        <v>2022</v>
      </c>
      <c r="D55" s="17" t="s">
        <v>193</v>
      </c>
      <c r="E55" s="17" t="s">
        <v>193</v>
      </c>
      <c r="F55" s="25" t="s">
        <v>208</v>
      </c>
      <c r="G55" s="26" t="s">
        <v>209</v>
      </c>
      <c r="H55" s="25" t="s">
        <v>210</v>
      </c>
      <c r="I55" s="19" t="s">
        <v>50</v>
      </c>
      <c r="J55" s="20" t="s">
        <v>26</v>
      </c>
      <c r="K55" s="30" t="s">
        <v>197</v>
      </c>
      <c r="L55" s="21">
        <v>45016</v>
      </c>
      <c r="M55" s="23">
        <v>45657</v>
      </c>
      <c r="N55" s="19" t="str">
        <f t="shared" si="0"/>
        <v>Open Due</v>
      </c>
      <c r="O55" s="24">
        <f t="shared" si="1"/>
        <v>1096</v>
      </c>
      <c r="P55" s="24" t="str">
        <f t="shared" si="3"/>
        <v>above one year</v>
      </c>
      <c r="Q55" s="17" t="s">
        <v>198</v>
      </c>
    </row>
    <row r="56" spans="1:17" ht="193.2" x14ac:dyDescent="0.3">
      <c r="A56" s="15">
        <f t="shared" si="2"/>
        <v>53</v>
      </c>
      <c r="B56" s="15" t="s">
        <v>19</v>
      </c>
      <c r="C56" s="15">
        <v>2022</v>
      </c>
      <c r="D56" s="17" t="s">
        <v>193</v>
      </c>
      <c r="E56" s="17" t="s">
        <v>193</v>
      </c>
      <c r="F56" s="25" t="s">
        <v>211</v>
      </c>
      <c r="G56" s="26" t="s">
        <v>212</v>
      </c>
      <c r="H56" s="25" t="s">
        <v>213</v>
      </c>
      <c r="I56" s="19" t="s">
        <v>50</v>
      </c>
      <c r="J56" s="20" t="s">
        <v>26</v>
      </c>
      <c r="K56" s="30" t="s">
        <v>197</v>
      </c>
      <c r="L56" s="21">
        <v>45016</v>
      </c>
      <c r="M56" s="23">
        <v>45657</v>
      </c>
      <c r="N56" s="19" t="str">
        <f t="shared" si="0"/>
        <v>Open Due</v>
      </c>
      <c r="O56" s="24">
        <f t="shared" si="1"/>
        <v>1096</v>
      </c>
      <c r="P56" s="24" t="str">
        <f t="shared" si="3"/>
        <v>above one year</v>
      </c>
      <c r="Q56" s="17" t="s">
        <v>214</v>
      </c>
    </row>
    <row r="57" spans="1:17" ht="151.80000000000001" x14ac:dyDescent="0.3">
      <c r="A57" s="15">
        <f t="shared" si="2"/>
        <v>54</v>
      </c>
      <c r="B57" s="15" t="s">
        <v>19</v>
      </c>
      <c r="C57" s="15">
        <v>2022</v>
      </c>
      <c r="D57" s="17" t="s">
        <v>193</v>
      </c>
      <c r="E57" s="17" t="s">
        <v>193</v>
      </c>
      <c r="F57" s="25" t="s">
        <v>215</v>
      </c>
      <c r="G57" s="26" t="s">
        <v>216</v>
      </c>
      <c r="H57" s="25" t="s">
        <v>217</v>
      </c>
      <c r="I57" s="19" t="s">
        <v>50</v>
      </c>
      <c r="J57" s="20" t="s">
        <v>26</v>
      </c>
      <c r="K57" s="30" t="s">
        <v>197</v>
      </c>
      <c r="L57" s="21">
        <v>45016</v>
      </c>
      <c r="M57" s="23">
        <v>45657</v>
      </c>
      <c r="N57" s="19" t="str">
        <f t="shared" si="0"/>
        <v>Open Due</v>
      </c>
      <c r="O57" s="24">
        <f t="shared" si="1"/>
        <v>1096</v>
      </c>
      <c r="P57" s="24" t="str">
        <f t="shared" si="3"/>
        <v>above one year</v>
      </c>
      <c r="Q57" s="17" t="s">
        <v>198</v>
      </c>
    </row>
    <row r="58" spans="1:17" ht="69" x14ac:dyDescent="0.3">
      <c r="A58" s="15">
        <f t="shared" si="2"/>
        <v>55</v>
      </c>
      <c r="B58" s="15" t="s">
        <v>19</v>
      </c>
      <c r="C58" s="15">
        <v>2022</v>
      </c>
      <c r="D58" s="17" t="s">
        <v>193</v>
      </c>
      <c r="E58" s="17" t="s">
        <v>193</v>
      </c>
      <c r="F58" s="25" t="s">
        <v>218</v>
      </c>
      <c r="G58" s="26" t="s">
        <v>219</v>
      </c>
      <c r="H58" s="25" t="s">
        <v>220</v>
      </c>
      <c r="I58" s="19" t="s">
        <v>50</v>
      </c>
      <c r="J58" s="20" t="s">
        <v>74</v>
      </c>
      <c r="K58" s="30" t="s">
        <v>197</v>
      </c>
      <c r="L58" s="21">
        <v>45291</v>
      </c>
      <c r="M58" s="23"/>
      <c r="N58" s="19" t="str">
        <f t="shared" si="0"/>
        <v>Closed</v>
      </c>
      <c r="O58" s="24">
        <f t="shared" si="1"/>
        <v>821</v>
      </c>
      <c r="P58" s="24" t="str">
        <f t="shared" si="3"/>
        <v>Closed</v>
      </c>
      <c r="Q58" s="17" t="e">
        <v>#N/A</v>
      </c>
    </row>
    <row r="59" spans="1:17" ht="96.6" x14ac:dyDescent="0.3">
      <c r="A59" s="15">
        <f t="shared" si="2"/>
        <v>56</v>
      </c>
      <c r="B59" s="15" t="s">
        <v>19</v>
      </c>
      <c r="C59" s="15">
        <v>2022</v>
      </c>
      <c r="D59" s="17" t="s">
        <v>193</v>
      </c>
      <c r="E59" s="17" t="s">
        <v>193</v>
      </c>
      <c r="F59" s="25" t="s">
        <v>221</v>
      </c>
      <c r="G59" s="26" t="s">
        <v>222</v>
      </c>
      <c r="H59" s="25" t="s">
        <v>223</v>
      </c>
      <c r="I59" s="19" t="s">
        <v>50</v>
      </c>
      <c r="J59" s="20" t="s">
        <v>45</v>
      </c>
      <c r="K59" s="30" t="s">
        <v>197</v>
      </c>
      <c r="L59" s="21">
        <v>45016</v>
      </c>
      <c r="M59" s="22"/>
      <c r="N59" s="19" t="str">
        <f t="shared" si="0"/>
        <v>Closed</v>
      </c>
      <c r="O59" s="24">
        <f t="shared" si="1"/>
        <v>1096</v>
      </c>
      <c r="P59" s="24" t="str">
        <f t="shared" si="3"/>
        <v>Closed</v>
      </c>
      <c r="Q59" s="17" t="e">
        <v>#N/A</v>
      </c>
    </row>
    <row r="60" spans="1:17" ht="124.2" x14ac:dyDescent="0.3">
      <c r="A60" s="15">
        <f t="shared" si="2"/>
        <v>57</v>
      </c>
      <c r="B60" s="15" t="s">
        <v>19</v>
      </c>
      <c r="C60" s="15">
        <v>2022</v>
      </c>
      <c r="D60" s="17" t="s">
        <v>193</v>
      </c>
      <c r="E60" s="17" t="s">
        <v>193</v>
      </c>
      <c r="F60" s="25" t="s">
        <v>224</v>
      </c>
      <c r="G60" s="26" t="s">
        <v>225</v>
      </c>
      <c r="H60" s="25" t="s">
        <v>226</v>
      </c>
      <c r="I60" s="19" t="s">
        <v>50</v>
      </c>
      <c r="J60" s="20" t="s">
        <v>26</v>
      </c>
      <c r="K60" s="30" t="s">
        <v>197</v>
      </c>
      <c r="L60" s="21">
        <v>45016</v>
      </c>
      <c r="M60" s="23">
        <v>45657</v>
      </c>
      <c r="N60" s="19" t="str">
        <f t="shared" si="0"/>
        <v>Open Due</v>
      </c>
      <c r="O60" s="24">
        <f t="shared" si="1"/>
        <v>1096</v>
      </c>
      <c r="P60" s="24" t="str">
        <f t="shared" si="3"/>
        <v>above one year</v>
      </c>
      <c r="Q60" s="17" t="s">
        <v>214</v>
      </c>
    </row>
    <row r="61" spans="1:17" ht="409.6" x14ac:dyDescent="0.3">
      <c r="A61" s="15">
        <f t="shared" si="2"/>
        <v>58</v>
      </c>
      <c r="B61" s="15" t="s">
        <v>19</v>
      </c>
      <c r="C61" s="15">
        <v>2022</v>
      </c>
      <c r="D61" s="17" t="s">
        <v>227</v>
      </c>
      <c r="E61" s="16" t="s">
        <v>228</v>
      </c>
      <c r="F61" s="25" t="s">
        <v>229</v>
      </c>
      <c r="G61" s="18" t="s">
        <v>230</v>
      </c>
      <c r="H61" s="34" t="s">
        <v>231</v>
      </c>
      <c r="I61" s="29" t="s">
        <v>50</v>
      </c>
      <c r="J61" s="20" t="s">
        <v>26</v>
      </c>
      <c r="K61" s="34" t="s">
        <v>232</v>
      </c>
      <c r="L61" s="33">
        <v>45291</v>
      </c>
      <c r="M61" s="23">
        <v>45657</v>
      </c>
      <c r="N61" s="19" t="str">
        <f t="shared" si="0"/>
        <v>Open Due</v>
      </c>
      <c r="O61" s="24">
        <f t="shared" si="1"/>
        <v>821</v>
      </c>
      <c r="P61" s="24" t="str">
        <f t="shared" si="3"/>
        <v>above one year</v>
      </c>
      <c r="Q61" s="17" t="s">
        <v>233</v>
      </c>
    </row>
    <row r="62" spans="1:17" ht="96.6" x14ac:dyDescent="0.3">
      <c r="A62" s="15">
        <f t="shared" si="2"/>
        <v>59</v>
      </c>
      <c r="B62" s="15" t="s">
        <v>19</v>
      </c>
      <c r="C62" s="15">
        <v>2022</v>
      </c>
      <c r="D62" s="17" t="s">
        <v>227</v>
      </c>
      <c r="E62" s="16" t="s">
        <v>228</v>
      </c>
      <c r="F62" s="25" t="s">
        <v>234</v>
      </c>
      <c r="G62" s="18" t="s">
        <v>235</v>
      </c>
      <c r="H62" s="34" t="s">
        <v>236</v>
      </c>
      <c r="I62" s="29" t="s">
        <v>50</v>
      </c>
      <c r="J62" s="20" t="s">
        <v>45</v>
      </c>
      <c r="K62" s="34" t="s">
        <v>232</v>
      </c>
      <c r="L62" s="33">
        <v>45291</v>
      </c>
      <c r="M62" s="22">
        <v>45535</v>
      </c>
      <c r="N62" s="19" t="str">
        <f t="shared" si="0"/>
        <v>Open Due</v>
      </c>
      <c r="O62" s="24">
        <f t="shared" si="1"/>
        <v>821</v>
      </c>
      <c r="P62" s="24" t="str">
        <f t="shared" si="3"/>
        <v>above one year</v>
      </c>
      <c r="Q62" s="17" t="s">
        <v>237</v>
      </c>
    </row>
    <row r="63" spans="1:17" ht="234.6" x14ac:dyDescent="0.3">
      <c r="A63" s="15">
        <f t="shared" si="2"/>
        <v>60</v>
      </c>
      <c r="B63" s="15" t="s">
        <v>19</v>
      </c>
      <c r="C63" s="15">
        <v>2022</v>
      </c>
      <c r="D63" s="17" t="s">
        <v>227</v>
      </c>
      <c r="E63" s="16" t="s">
        <v>228</v>
      </c>
      <c r="F63" s="25" t="s">
        <v>238</v>
      </c>
      <c r="G63" s="18" t="s">
        <v>239</v>
      </c>
      <c r="H63" s="34" t="s">
        <v>240</v>
      </c>
      <c r="I63" s="29" t="s">
        <v>50</v>
      </c>
      <c r="J63" s="19" t="s">
        <v>55</v>
      </c>
      <c r="K63" s="34" t="s">
        <v>232</v>
      </c>
      <c r="L63" s="33">
        <v>45107</v>
      </c>
      <c r="M63" s="22"/>
      <c r="N63" s="19" t="str">
        <f t="shared" si="0"/>
        <v>Closed</v>
      </c>
      <c r="O63" s="24">
        <f t="shared" si="1"/>
        <v>1005</v>
      </c>
      <c r="P63" s="24" t="str">
        <f t="shared" si="3"/>
        <v>Closed</v>
      </c>
      <c r="Q63" s="17" t="e">
        <v>#N/A</v>
      </c>
    </row>
    <row r="64" spans="1:17" ht="69" x14ac:dyDescent="0.3">
      <c r="A64" s="15">
        <f t="shared" si="2"/>
        <v>61</v>
      </c>
      <c r="B64" s="15" t="s">
        <v>19</v>
      </c>
      <c r="C64" s="15">
        <v>2022</v>
      </c>
      <c r="D64" s="17" t="s">
        <v>227</v>
      </c>
      <c r="E64" s="16" t="s">
        <v>228</v>
      </c>
      <c r="F64" s="25" t="s">
        <v>241</v>
      </c>
      <c r="G64" s="18" t="s">
        <v>242</v>
      </c>
      <c r="H64" s="34" t="s">
        <v>243</v>
      </c>
      <c r="I64" s="29" t="s">
        <v>50</v>
      </c>
      <c r="J64" s="19" t="s">
        <v>55</v>
      </c>
      <c r="K64" s="34" t="s">
        <v>232</v>
      </c>
      <c r="L64" s="33">
        <v>45199</v>
      </c>
      <c r="M64" s="22"/>
      <c r="N64" s="19" t="str">
        <f t="shared" si="0"/>
        <v>Closed</v>
      </c>
      <c r="O64" s="24">
        <f t="shared" si="1"/>
        <v>913</v>
      </c>
      <c r="P64" s="24" t="str">
        <f t="shared" si="3"/>
        <v>Closed</v>
      </c>
      <c r="Q64" s="17" t="e">
        <v>#N/A</v>
      </c>
    </row>
    <row r="65" spans="1:17" ht="55.2" x14ac:dyDescent="0.3">
      <c r="A65" s="15">
        <f t="shared" si="2"/>
        <v>62</v>
      </c>
      <c r="B65" s="15" t="s">
        <v>19</v>
      </c>
      <c r="C65" s="15">
        <v>2022</v>
      </c>
      <c r="D65" s="17" t="s">
        <v>227</v>
      </c>
      <c r="E65" s="16" t="s">
        <v>228</v>
      </c>
      <c r="F65" s="25" t="s">
        <v>244</v>
      </c>
      <c r="G65" s="18" t="s">
        <v>245</v>
      </c>
      <c r="H65" s="34" t="s">
        <v>246</v>
      </c>
      <c r="I65" s="29" t="s">
        <v>50</v>
      </c>
      <c r="J65" s="19" t="s">
        <v>55</v>
      </c>
      <c r="K65" s="34" t="s">
        <v>232</v>
      </c>
      <c r="L65" s="33">
        <v>45138</v>
      </c>
      <c r="M65" s="22"/>
      <c r="N65" s="19" t="str">
        <f t="shared" si="0"/>
        <v>Closed</v>
      </c>
      <c r="O65" s="24">
        <f t="shared" si="1"/>
        <v>974</v>
      </c>
      <c r="P65" s="24" t="str">
        <f t="shared" si="3"/>
        <v>Closed</v>
      </c>
      <c r="Q65" s="17" t="e">
        <v>#N/A</v>
      </c>
    </row>
    <row r="66" spans="1:17" ht="69" x14ac:dyDescent="0.3">
      <c r="A66" s="15">
        <f t="shared" si="2"/>
        <v>63</v>
      </c>
      <c r="B66" s="15" t="s">
        <v>19</v>
      </c>
      <c r="C66" s="15">
        <v>2022</v>
      </c>
      <c r="D66" s="17" t="s">
        <v>227</v>
      </c>
      <c r="E66" s="16" t="s">
        <v>228</v>
      </c>
      <c r="F66" s="25" t="s">
        <v>247</v>
      </c>
      <c r="G66" s="18" t="s">
        <v>248</v>
      </c>
      <c r="H66" s="34" t="s">
        <v>249</v>
      </c>
      <c r="I66" s="29" t="s">
        <v>50</v>
      </c>
      <c r="J66" s="19" t="s">
        <v>55</v>
      </c>
      <c r="K66" s="34" t="s">
        <v>250</v>
      </c>
      <c r="L66" s="33">
        <v>45076</v>
      </c>
      <c r="M66" s="22"/>
      <c r="N66" s="19" t="str">
        <f t="shared" si="0"/>
        <v>Closed</v>
      </c>
      <c r="O66" s="24">
        <f t="shared" si="1"/>
        <v>1036</v>
      </c>
      <c r="P66" s="24" t="str">
        <f t="shared" si="3"/>
        <v>Closed</v>
      </c>
      <c r="Q66" s="17" t="e">
        <v>#N/A</v>
      </c>
    </row>
    <row r="67" spans="1:17" ht="57.6" x14ac:dyDescent="0.3">
      <c r="A67" s="15">
        <f t="shared" si="2"/>
        <v>64</v>
      </c>
      <c r="B67" s="15" t="s">
        <v>19</v>
      </c>
      <c r="C67" s="15">
        <v>2022</v>
      </c>
      <c r="D67" s="17" t="s">
        <v>227</v>
      </c>
      <c r="E67" s="16" t="s">
        <v>228</v>
      </c>
      <c r="F67" s="25" t="s">
        <v>251</v>
      </c>
      <c r="G67" s="18" t="s">
        <v>252</v>
      </c>
      <c r="H67" s="34" t="s">
        <v>253</v>
      </c>
      <c r="I67" s="29" t="s">
        <v>50</v>
      </c>
      <c r="J67" s="19" t="s">
        <v>74</v>
      </c>
      <c r="K67" s="35" t="s">
        <v>254</v>
      </c>
      <c r="L67" s="33">
        <v>45199</v>
      </c>
      <c r="M67" s="22"/>
      <c r="N67" s="19" t="str">
        <f t="shared" si="0"/>
        <v>Closed</v>
      </c>
      <c r="O67" s="24">
        <f t="shared" si="1"/>
        <v>913</v>
      </c>
      <c r="P67" s="24" t="str">
        <f t="shared" si="3"/>
        <v>Closed</v>
      </c>
      <c r="Q67" s="17" t="e">
        <v>#N/A</v>
      </c>
    </row>
    <row r="68" spans="1:17" ht="96" customHeight="1" x14ac:dyDescent="0.3">
      <c r="A68" s="15">
        <f t="shared" si="2"/>
        <v>65</v>
      </c>
      <c r="B68" s="15" t="s">
        <v>19</v>
      </c>
      <c r="C68" s="15">
        <v>2022</v>
      </c>
      <c r="D68" s="17" t="s">
        <v>227</v>
      </c>
      <c r="E68" s="16" t="s">
        <v>228</v>
      </c>
      <c r="F68" s="25" t="s">
        <v>255</v>
      </c>
      <c r="G68" s="18" t="s">
        <v>256</v>
      </c>
      <c r="H68" s="34" t="s">
        <v>257</v>
      </c>
      <c r="I68" s="29" t="s">
        <v>50</v>
      </c>
      <c r="J68" s="20" t="s">
        <v>37</v>
      </c>
      <c r="K68" s="36" t="s">
        <v>254</v>
      </c>
      <c r="L68" s="33">
        <v>45291</v>
      </c>
      <c r="M68" s="22"/>
      <c r="N68" s="19" t="str">
        <f t="shared" ref="N68:N131" si="4">IF(M68="", "Closed", IF(--M68 &gt; --$N$2, "Open Not Due", "Open Due"))</f>
        <v>Closed</v>
      </c>
      <c r="O68" s="24">
        <f t="shared" ref="O68:O131" si="5">$N$2-L68</f>
        <v>821</v>
      </c>
      <c r="P68" s="24" t="str">
        <f t="shared" si="3"/>
        <v>Closed</v>
      </c>
      <c r="Q68" s="17" t="e">
        <v>#N/A</v>
      </c>
    </row>
    <row r="69" spans="1:17" ht="165.6" x14ac:dyDescent="0.3">
      <c r="A69" s="15">
        <f t="shared" ref="A69:A132" si="6">ROW(A69)-3</f>
        <v>66</v>
      </c>
      <c r="B69" s="15" t="s">
        <v>19</v>
      </c>
      <c r="C69" s="15">
        <v>2022</v>
      </c>
      <c r="D69" s="17" t="s">
        <v>227</v>
      </c>
      <c r="E69" s="16" t="s">
        <v>228</v>
      </c>
      <c r="F69" s="25" t="s">
        <v>258</v>
      </c>
      <c r="G69" s="18" t="s">
        <v>259</v>
      </c>
      <c r="H69" s="31" t="s">
        <v>260</v>
      </c>
      <c r="I69" s="29" t="s">
        <v>50</v>
      </c>
      <c r="J69" s="20" t="s">
        <v>26</v>
      </c>
      <c r="K69" s="36" t="s">
        <v>254</v>
      </c>
      <c r="L69" s="33">
        <v>45138</v>
      </c>
      <c r="M69" s="22">
        <v>45504</v>
      </c>
      <c r="N69" s="19" t="str">
        <f t="shared" si="4"/>
        <v>Open Due</v>
      </c>
      <c r="O69" s="24">
        <f t="shared" si="5"/>
        <v>974</v>
      </c>
      <c r="P69" s="24" t="str">
        <f t="shared" ref="P69:P132" si="7">IF(N69="Open Not Due","Open Not Due",
IF(N69="Closed","Closed",
IF(O69&lt;180,"less than 6 months",
IF(O69&lt;365,"less than one year",
"above one year"))))</f>
        <v>above one year</v>
      </c>
      <c r="Q69" s="17" t="s">
        <v>261</v>
      </c>
    </row>
    <row r="70" spans="1:17" ht="193.2" x14ac:dyDescent="0.3">
      <c r="A70" s="15">
        <f t="shared" si="6"/>
        <v>67</v>
      </c>
      <c r="B70" s="15" t="s">
        <v>19</v>
      </c>
      <c r="C70" s="15">
        <v>2022</v>
      </c>
      <c r="D70" s="17" t="s">
        <v>227</v>
      </c>
      <c r="E70" s="16" t="s">
        <v>228</v>
      </c>
      <c r="F70" s="25" t="s">
        <v>262</v>
      </c>
      <c r="G70" s="18" t="s">
        <v>263</v>
      </c>
      <c r="H70" s="34" t="s">
        <v>264</v>
      </c>
      <c r="I70" s="29" t="s">
        <v>79</v>
      </c>
      <c r="J70" s="20" t="s">
        <v>26</v>
      </c>
      <c r="K70" s="36" t="s">
        <v>254</v>
      </c>
      <c r="L70" s="33">
        <v>45291</v>
      </c>
      <c r="M70" s="22">
        <v>45504</v>
      </c>
      <c r="N70" s="19" t="str">
        <f t="shared" si="4"/>
        <v>Open Due</v>
      </c>
      <c r="O70" s="24">
        <f t="shared" si="5"/>
        <v>821</v>
      </c>
      <c r="P70" s="24" t="str">
        <f t="shared" si="7"/>
        <v>above one year</v>
      </c>
      <c r="Q70" s="17" t="s">
        <v>261</v>
      </c>
    </row>
    <row r="71" spans="1:17" ht="53.25" customHeight="1" x14ac:dyDescent="0.3">
      <c r="A71" s="15">
        <f t="shared" si="6"/>
        <v>68</v>
      </c>
      <c r="B71" s="15" t="s">
        <v>19</v>
      </c>
      <c r="C71" s="15">
        <v>2022</v>
      </c>
      <c r="D71" s="17" t="s">
        <v>227</v>
      </c>
      <c r="E71" s="16" t="s">
        <v>228</v>
      </c>
      <c r="F71" s="25" t="s">
        <v>265</v>
      </c>
      <c r="G71" s="18" t="s">
        <v>266</v>
      </c>
      <c r="H71" s="31" t="s">
        <v>267</v>
      </c>
      <c r="I71" s="29" t="s">
        <v>79</v>
      </c>
      <c r="J71" s="20" t="s">
        <v>74</v>
      </c>
      <c r="K71" s="36" t="s">
        <v>254</v>
      </c>
      <c r="L71" s="33">
        <v>45291</v>
      </c>
      <c r="M71" s="22"/>
      <c r="N71" s="19" t="str">
        <f t="shared" si="4"/>
        <v>Closed</v>
      </c>
      <c r="O71" s="24">
        <f t="shared" si="5"/>
        <v>821</v>
      </c>
      <c r="P71" s="24" t="str">
        <f t="shared" si="7"/>
        <v>Closed</v>
      </c>
      <c r="Q71" s="17" t="e">
        <v>#N/A</v>
      </c>
    </row>
    <row r="72" spans="1:17" ht="96.6" x14ac:dyDescent="0.3">
      <c r="A72" s="15">
        <f t="shared" si="6"/>
        <v>69</v>
      </c>
      <c r="B72" s="15" t="s">
        <v>19</v>
      </c>
      <c r="C72" s="15">
        <v>2022</v>
      </c>
      <c r="D72" s="17" t="s">
        <v>227</v>
      </c>
      <c r="E72" s="16" t="s">
        <v>228</v>
      </c>
      <c r="F72" s="25" t="s">
        <v>268</v>
      </c>
      <c r="G72" s="18" t="s">
        <v>269</v>
      </c>
      <c r="H72" s="37" t="s">
        <v>270</v>
      </c>
      <c r="I72" s="29" t="s">
        <v>79</v>
      </c>
      <c r="J72" s="19" t="s">
        <v>26</v>
      </c>
      <c r="K72" s="36" t="s">
        <v>254</v>
      </c>
      <c r="L72" s="33">
        <v>45291</v>
      </c>
      <c r="M72" s="22"/>
      <c r="N72" s="19" t="str">
        <f t="shared" si="4"/>
        <v>Closed</v>
      </c>
      <c r="O72" s="24">
        <f t="shared" si="5"/>
        <v>821</v>
      </c>
      <c r="P72" s="24" t="str">
        <f t="shared" si="7"/>
        <v>Closed</v>
      </c>
      <c r="Q72" s="17" t="e">
        <v>#N/A</v>
      </c>
    </row>
    <row r="73" spans="1:17" ht="57.6" x14ac:dyDescent="0.3">
      <c r="A73" s="15">
        <f t="shared" si="6"/>
        <v>70</v>
      </c>
      <c r="B73" s="15" t="s">
        <v>19</v>
      </c>
      <c r="C73" s="15">
        <v>2022</v>
      </c>
      <c r="D73" s="17" t="s">
        <v>227</v>
      </c>
      <c r="E73" s="16" t="s">
        <v>228</v>
      </c>
      <c r="F73" s="25" t="s">
        <v>271</v>
      </c>
      <c r="G73" s="18" t="s">
        <v>272</v>
      </c>
      <c r="H73" s="31" t="s">
        <v>273</v>
      </c>
      <c r="I73" s="29" t="s">
        <v>79</v>
      </c>
      <c r="J73" s="19" t="s">
        <v>74</v>
      </c>
      <c r="K73" s="36" t="s">
        <v>254</v>
      </c>
      <c r="L73" s="33">
        <v>45291</v>
      </c>
      <c r="M73" s="22"/>
      <c r="N73" s="19" t="str">
        <f t="shared" si="4"/>
        <v>Closed</v>
      </c>
      <c r="O73" s="24">
        <f t="shared" si="5"/>
        <v>821</v>
      </c>
      <c r="P73" s="24" t="str">
        <f t="shared" si="7"/>
        <v>Closed</v>
      </c>
      <c r="Q73" s="17" t="e">
        <v>#N/A</v>
      </c>
    </row>
    <row r="74" spans="1:17" ht="57.6" x14ac:dyDescent="0.3">
      <c r="A74" s="15">
        <f t="shared" si="6"/>
        <v>71</v>
      </c>
      <c r="B74" s="15" t="s">
        <v>19</v>
      </c>
      <c r="C74" s="15">
        <v>2022</v>
      </c>
      <c r="D74" s="17" t="s">
        <v>227</v>
      </c>
      <c r="E74" s="16" t="s">
        <v>228</v>
      </c>
      <c r="F74" s="25" t="s">
        <v>274</v>
      </c>
      <c r="G74" s="18" t="s">
        <v>275</v>
      </c>
      <c r="H74" s="37" t="s">
        <v>276</v>
      </c>
      <c r="I74" s="29" t="s">
        <v>79</v>
      </c>
      <c r="J74" s="19" t="s">
        <v>55</v>
      </c>
      <c r="K74" s="36" t="s">
        <v>254</v>
      </c>
      <c r="L74" s="38">
        <v>45169</v>
      </c>
      <c r="M74" s="22"/>
      <c r="N74" s="19" t="str">
        <f t="shared" si="4"/>
        <v>Closed</v>
      </c>
      <c r="O74" s="24">
        <f t="shared" si="5"/>
        <v>943</v>
      </c>
      <c r="P74" s="24" t="str">
        <f t="shared" si="7"/>
        <v>Closed</v>
      </c>
      <c r="Q74" s="17" t="e">
        <v>#N/A</v>
      </c>
    </row>
    <row r="75" spans="1:17" ht="400.2" x14ac:dyDescent="0.3">
      <c r="A75" s="15">
        <f t="shared" si="6"/>
        <v>72</v>
      </c>
      <c r="B75" s="15" t="s">
        <v>19</v>
      </c>
      <c r="C75" s="15">
        <v>2022</v>
      </c>
      <c r="D75" s="15" t="s">
        <v>277</v>
      </c>
      <c r="E75" s="16" t="s">
        <v>277</v>
      </c>
      <c r="F75" s="39" t="s">
        <v>278</v>
      </c>
      <c r="G75" s="26" t="s">
        <v>279</v>
      </c>
      <c r="H75" s="40" t="s">
        <v>280</v>
      </c>
      <c r="I75" s="29" t="s">
        <v>50</v>
      </c>
      <c r="J75" s="19" t="s">
        <v>26</v>
      </c>
      <c r="K75" s="41" t="s">
        <v>281</v>
      </c>
      <c r="L75" s="33">
        <v>45291</v>
      </c>
      <c r="M75" s="22"/>
      <c r="N75" s="19" t="str">
        <f t="shared" si="4"/>
        <v>Closed</v>
      </c>
      <c r="O75" s="24">
        <f t="shared" si="5"/>
        <v>821</v>
      </c>
      <c r="P75" s="24" t="str">
        <f t="shared" si="7"/>
        <v>Closed</v>
      </c>
      <c r="Q75" s="17" t="e">
        <v>#N/A</v>
      </c>
    </row>
    <row r="76" spans="1:17" ht="138" x14ac:dyDescent="0.3">
      <c r="A76" s="15">
        <f t="shared" si="6"/>
        <v>73</v>
      </c>
      <c r="B76" s="15" t="s">
        <v>19</v>
      </c>
      <c r="C76" s="15">
        <v>2022</v>
      </c>
      <c r="D76" s="15" t="s">
        <v>277</v>
      </c>
      <c r="E76" s="16" t="s">
        <v>277</v>
      </c>
      <c r="F76" s="42" t="s">
        <v>282</v>
      </c>
      <c r="G76" s="26" t="s">
        <v>283</v>
      </c>
      <c r="H76" s="25" t="s">
        <v>284</v>
      </c>
      <c r="I76" s="29" t="s">
        <v>50</v>
      </c>
      <c r="J76" s="20" t="s">
        <v>45</v>
      </c>
      <c r="K76" s="41" t="s">
        <v>281</v>
      </c>
      <c r="L76" s="33">
        <v>45291</v>
      </c>
      <c r="M76" s="22">
        <v>45658</v>
      </c>
      <c r="N76" s="19" t="str">
        <f t="shared" si="4"/>
        <v>Open Due</v>
      </c>
      <c r="O76" s="24">
        <f t="shared" si="5"/>
        <v>821</v>
      </c>
      <c r="P76" s="24" t="str">
        <f t="shared" si="7"/>
        <v>above one year</v>
      </c>
      <c r="Q76" s="17" t="s">
        <v>189</v>
      </c>
    </row>
    <row r="77" spans="1:17" ht="43.2" x14ac:dyDescent="0.3">
      <c r="A77" s="15">
        <f t="shared" si="6"/>
        <v>74</v>
      </c>
      <c r="B77" s="15" t="s">
        <v>19</v>
      </c>
      <c r="C77" s="15">
        <v>2022</v>
      </c>
      <c r="D77" s="15" t="s">
        <v>277</v>
      </c>
      <c r="E77" s="16" t="s">
        <v>277</v>
      </c>
      <c r="F77" s="25" t="s">
        <v>285</v>
      </c>
      <c r="G77" s="26" t="s">
        <v>286</v>
      </c>
      <c r="H77" s="43" t="s">
        <v>287</v>
      </c>
      <c r="I77" s="29" t="s">
        <v>50</v>
      </c>
      <c r="J77" s="19" t="s">
        <v>26</v>
      </c>
      <c r="K77" s="41" t="s">
        <v>281</v>
      </c>
      <c r="L77" s="33">
        <v>45291</v>
      </c>
      <c r="M77" s="22"/>
      <c r="N77" s="19" t="str">
        <f t="shared" si="4"/>
        <v>Closed</v>
      </c>
      <c r="O77" s="24">
        <f t="shared" si="5"/>
        <v>821</v>
      </c>
      <c r="P77" s="24" t="str">
        <f t="shared" si="7"/>
        <v>Closed</v>
      </c>
      <c r="Q77" s="17" t="e">
        <v>#N/A</v>
      </c>
    </row>
    <row r="78" spans="1:17" ht="124.2" x14ac:dyDescent="0.3">
      <c r="A78" s="15">
        <f t="shared" si="6"/>
        <v>75</v>
      </c>
      <c r="B78" s="15" t="s">
        <v>19</v>
      </c>
      <c r="C78" s="15">
        <v>2022</v>
      </c>
      <c r="D78" s="15" t="s">
        <v>277</v>
      </c>
      <c r="E78" s="16" t="s">
        <v>277</v>
      </c>
      <c r="F78" s="30" t="s">
        <v>288</v>
      </c>
      <c r="G78" s="26" t="s">
        <v>289</v>
      </c>
      <c r="H78" s="25" t="s">
        <v>290</v>
      </c>
      <c r="I78" s="29" t="s">
        <v>50</v>
      </c>
      <c r="J78" s="19" t="s">
        <v>26</v>
      </c>
      <c r="K78" s="41" t="s">
        <v>281</v>
      </c>
      <c r="L78" s="33">
        <v>45291</v>
      </c>
      <c r="M78" s="22"/>
      <c r="N78" s="19" t="str">
        <f t="shared" si="4"/>
        <v>Closed</v>
      </c>
      <c r="O78" s="24">
        <f t="shared" si="5"/>
        <v>821</v>
      </c>
      <c r="P78" s="24" t="str">
        <f t="shared" si="7"/>
        <v>Closed</v>
      </c>
      <c r="Q78" s="17" t="e">
        <v>#N/A</v>
      </c>
    </row>
    <row r="79" spans="1:17" ht="69" x14ac:dyDescent="0.3">
      <c r="A79" s="15">
        <f t="shared" si="6"/>
        <v>76</v>
      </c>
      <c r="B79" s="15" t="s">
        <v>19</v>
      </c>
      <c r="C79" s="15">
        <v>2022</v>
      </c>
      <c r="D79" s="15" t="s">
        <v>277</v>
      </c>
      <c r="E79" s="16" t="s">
        <v>277</v>
      </c>
      <c r="F79" s="25" t="s">
        <v>291</v>
      </c>
      <c r="G79" s="26" t="s">
        <v>292</v>
      </c>
      <c r="H79" s="25" t="s">
        <v>293</v>
      </c>
      <c r="I79" s="29" t="s">
        <v>50</v>
      </c>
      <c r="J79" s="20" t="s">
        <v>74</v>
      </c>
      <c r="K79" s="41" t="s">
        <v>281</v>
      </c>
      <c r="L79" s="33">
        <v>45291</v>
      </c>
      <c r="M79" s="23"/>
      <c r="N79" s="19" t="str">
        <f t="shared" si="4"/>
        <v>Closed</v>
      </c>
      <c r="O79" s="24">
        <f t="shared" si="5"/>
        <v>821</v>
      </c>
      <c r="P79" s="24" t="str">
        <f t="shared" si="7"/>
        <v>Closed</v>
      </c>
      <c r="Q79" s="17" t="e">
        <v>#N/A</v>
      </c>
    </row>
    <row r="80" spans="1:17" ht="234.6" x14ac:dyDescent="0.3">
      <c r="A80" s="15">
        <f t="shared" si="6"/>
        <v>77</v>
      </c>
      <c r="B80" s="15" t="s">
        <v>19</v>
      </c>
      <c r="C80" s="15">
        <v>2023</v>
      </c>
      <c r="D80" s="15" t="s">
        <v>294</v>
      </c>
      <c r="E80" s="16" t="s">
        <v>295</v>
      </c>
      <c r="F80" s="25" t="s">
        <v>296</v>
      </c>
      <c r="G80" s="26" t="s">
        <v>297</v>
      </c>
      <c r="H80" s="25" t="s">
        <v>298</v>
      </c>
      <c r="I80" s="19" t="s">
        <v>50</v>
      </c>
      <c r="J80" s="20" t="s">
        <v>26</v>
      </c>
      <c r="K80" s="41" t="s">
        <v>299</v>
      </c>
      <c r="L80" s="44">
        <v>45657</v>
      </c>
      <c r="M80" s="23">
        <v>45657</v>
      </c>
      <c r="N80" s="19" t="str">
        <f t="shared" si="4"/>
        <v>Open Due</v>
      </c>
      <c r="O80" s="24">
        <f t="shared" si="5"/>
        <v>455</v>
      </c>
      <c r="P80" s="24" t="str">
        <f t="shared" si="7"/>
        <v>above one year</v>
      </c>
      <c r="Q80" s="17" t="s">
        <v>300</v>
      </c>
    </row>
    <row r="81" spans="1:17" ht="207" x14ac:dyDescent="0.3">
      <c r="A81" s="15">
        <f t="shared" si="6"/>
        <v>78</v>
      </c>
      <c r="B81" s="15" t="s">
        <v>19</v>
      </c>
      <c r="C81" s="15">
        <v>2023</v>
      </c>
      <c r="D81" s="15" t="s">
        <v>294</v>
      </c>
      <c r="E81" s="16" t="s">
        <v>295</v>
      </c>
      <c r="F81" s="25" t="s">
        <v>301</v>
      </c>
      <c r="G81" s="26" t="s">
        <v>302</v>
      </c>
      <c r="H81" s="25" t="s">
        <v>303</v>
      </c>
      <c r="I81" s="29" t="s">
        <v>50</v>
      </c>
      <c r="J81" s="20" t="s">
        <v>55</v>
      </c>
      <c r="K81" s="41" t="s">
        <v>299</v>
      </c>
      <c r="L81" s="45">
        <v>45382</v>
      </c>
      <c r="M81" s="23">
        <v>45747</v>
      </c>
      <c r="N81" s="19" t="str">
        <f t="shared" si="4"/>
        <v>Open Due</v>
      </c>
      <c r="O81" s="24">
        <f t="shared" si="5"/>
        <v>730</v>
      </c>
      <c r="P81" s="24" t="str">
        <f t="shared" si="7"/>
        <v>above one year</v>
      </c>
      <c r="Q81" s="17" t="s">
        <v>304</v>
      </c>
    </row>
    <row r="82" spans="1:17" ht="165.6" x14ac:dyDescent="0.3">
      <c r="A82" s="15">
        <f t="shared" si="6"/>
        <v>79</v>
      </c>
      <c r="B82" s="15" t="s">
        <v>19</v>
      </c>
      <c r="C82" s="15">
        <v>2023</v>
      </c>
      <c r="D82" s="15" t="s">
        <v>294</v>
      </c>
      <c r="E82" s="16" t="s">
        <v>295</v>
      </c>
      <c r="F82" s="25" t="s">
        <v>305</v>
      </c>
      <c r="G82" s="26" t="s">
        <v>306</v>
      </c>
      <c r="H82" s="25" t="s">
        <v>307</v>
      </c>
      <c r="I82" s="19" t="s">
        <v>50</v>
      </c>
      <c r="J82" s="20" t="s">
        <v>55</v>
      </c>
      <c r="K82" s="41" t="s">
        <v>299</v>
      </c>
      <c r="L82" s="45">
        <v>45565</v>
      </c>
      <c r="M82" s="23"/>
      <c r="N82" s="19" t="str">
        <f t="shared" si="4"/>
        <v>Closed</v>
      </c>
      <c r="O82" s="24">
        <f t="shared" si="5"/>
        <v>547</v>
      </c>
      <c r="P82" s="24" t="str">
        <f t="shared" si="7"/>
        <v>Closed</v>
      </c>
      <c r="Q82" s="17" t="s">
        <v>308</v>
      </c>
    </row>
    <row r="83" spans="1:17" ht="138" x14ac:dyDescent="0.3">
      <c r="A83" s="15">
        <f t="shared" si="6"/>
        <v>80</v>
      </c>
      <c r="B83" s="15" t="s">
        <v>19</v>
      </c>
      <c r="C83" s="15">
        <v>2023</v>
      </c>
      <c r="D83" s="15" t="s">
        <v>294</v>
      </c>
      <c r="E83" s="16" t="s">
        <v>295</v>
      </c>
      <c r="F83" s="25" t="s">
        <v>309</v>
      </c>
      <c r="G83" s="26" t="s">
        <v>310</v>
      </c>
      <c r="H83" s="25" t="s">
        <v>311</v>
      </c>
      <c r="I83" s="29" t="s">
        <v>50</v>
      </c>
      <c r="J83" s="20" t="s">
        <v>55</v>
      </c>
      <c r="K83" s="41" t="s">
        <v>299</v>
      </c>
      <c r="L83" s="45">
        <v>45382</v>
      </c>
      <c r="M83" s="23"/>
      <c r="N83" s="19" t="str">
        <f t="shared" si="4"/>
        <v>Closed</v>
      </c>
      <c r="O83" s="24">
        <f t="shared" si="5"/>
        <v>730</v>
      </c>
      <c r="P83" s="24" t="str">
        <f t="shared" si="7"/>
        <v>Closed</v>
      </c>
      <c r="Q83" s="17" t="s">
        <v>312</v>
      </c>
    </row>
    <row r="84" spans="1:17" ht="124.2" x14ac:dyDescent="0.3">
      <c r="A84" s="15">
        <f t="shared" si="6"/>
        <v>81</v>
      </c>
      <c r="B84" s="15" t="s">
        <v>19</v>
      </c>
      <c r="C84" s="15">
        <v>2023</v>
      </c>
      <c r="D84" s="15" t="s">
        <v>294</v>
      </c>
      <c r="E84" s="16" t="s">
        <v>295</v>
      </c>
      <c r="F84" s="25" t="s">
        <v>313</v>
      </c>
      <c r="G84" s="26" t="s">
        <v>314</v>
      </c>
      <c r="H84" s="25" t="s">
        <v>315</v>
      </c>
      <c r="I84" s="29" t="s">
        <v>50</v>
      </c>
      <c r="J84" s="20" t="s">
        <v>316</v>
      </c>
      <c r="K84" s="41" t="s">
        <v>299</v>
      </c>
      <c r="L84" s="45">
        <v>45322</v>
      </c>
      <c r="M84" s="22"/>
      <c r="N84" s="19" t="str">
        <f t="shared" si="4"/>
        <v>Closed</v>
      </c>
      <c r="O84" s="24">
        <f t="shared" si="5"/>
        <v>790</v>
      </c>
      <c r="P84" s="24" t="str">
        <f t="shared" si="7"/>
        <v>Closed</v>
      </c>
      <c r="Q84" s="17" t="e">
        <v>#N/A</v>
      </c>
    </row>
    <row r="85" spans="1:17" ht="303.60000000000002" x14ac:dyDescent="0.3">
      <c r="A85" s="15">
        <f t="shared" si="6"/>
        <v>82</v>
      </c>
      <c r="B85" s="15" t="s">
        <v>19</v>
      </c>
      <c r="C85" s="15">
        <v>2023</v>
      </c>
      <c r="D85" s="15" t="s">
        <v>294</v>
      </c>
      <c r="E85" s="16" t="s">
        <v>295</v>
      </c>
      <c r="F85" s="25" t="s">
        <v>317</v>
      </c>
      <c r="G85" s="26" t="s">
        <v>318</v>
      </c>
      <c r="H85" s="25" t="s">
        <v>319</v>
      </c>
      <c r="I85" s="19" t="s">
        <v>50</v>
      </c>
      <c r="J85" s="20" t="s">
        <v>316</v>
      </c>
      <c r="K85" s="41" t="s">
        <v>299</v>
      </c>
      <c r="L85" s="45">
        <v>45565</v>
      </c>
      <c r="M85" s="23">
        <v>45565</v>
      </c>
      <c r="N85" s="19" t="str">
        <f t="shared" si="4"/>
        <v>Open Due</v>
      </c>
      <c r="O85" s="24">
        <f t="shared" si="5"/>
        <v>547</v>
      </c>
      <c r="P85" s="24" t="str">
        <f t="shared" si="7"/>
        <v>above one year</v>
      </c>
      <c r="Q85" s="17" t="s">
        <v>320</v>
      </c>
    </row>
    <row r="86" spans="1:17" ht="165.6" x14ac:dyDescent="0.3">
      <c r="A86" s="15">
        <f t="shared" si="6"/>
        <v>83</v>
      </c>
      <c r="B86" s="15" t="s">
        <v>19</v>
      </c>
      <c r="C86" s="15">
        <v>2023</v>
      </c>
      <c r="D86" s="15" t="s">
        <v>294</v>
      </c>
      <c r="E86" s="16" t="s">
        <v>295</v>
      </c>
      <c r="F86" s="25" t="s">
        <v>321</v>
      </c>
      <c r="G86" s="26" t="s">
        <v>322</v>
      </c>
      <c r="H86" s="25" t="s">
        <v>323</v>
      </c>
      <c r="I86" s="19" t="s">
        <v>50</v>
      </c>
      <c r="J86" s="20" t="s">
        <v>55</v>
      </c>
      <c r="K86" s="41" t="s">
        <v>299</v>
      </c>
      <c r="L86" s="45">
        <v>45657</v>
      </c>
      <c r="M86" s="23"/>
      <c r="N86" s="19" t="str">
        <f t="shared" si="4"/>
        <v>Closed</v>
      </c>
      <c r="O86" s="24">
        <f t="shared" si="5"/>
        <v>455</v>
      </c>
      <c r="P86" s="24" t="str">
        <f t="shared" si="7"/>
        <v>Closed</v>
      </c>
      <c r="Q86" s="17" t="e">
        <v>#N/A</v>
      </c>
    </row>
    <row r="87" spans="1:17" ht="248.4" x14ac:dyDescent="0.3">
      <c r="A87" s="15">
        <f t="shared" si="6"/>
        <v>84</v>
      </c>
      <c r="B87" s="15" t="s">
        <v>19</v>
      </c>
      <c r="C87" s="15">
        <v>2023</v>
      </c>
      <c r="D87" s="15" t="s">
        <v>294</v>
      </c>
      <c r="E87" s="16" t="s">
        <v>295</v>
      </c>
      <c r="F87" s="25" t="s">
        <v>324</v>
      </c>
      <c r="G87" s="26" t="s">
        <v>325</v>
      </c>
      <c r="H87" s="25" t="s">
        <v>326</v>
      </c>
      <c r="I87" s="29" t="s">
        <v>50</v>
      </c>
      <c r="J87" s="20" t="s">
        <v>55</v>
      </c>
      <c r="K87" s="41" t="s">
        <v>299</v>
      </c>
      <c r="L87" s="45">
        <v>45322</v>
      </c>
      <c r="M87" s="22"/>
      <c r="N87" s="19" t="str">
        <f t="shared" si="4"/>
        <v>Closed</v>
      </c>
      <c r="O87" s="24">
        <f t="shared" si="5"/>
        <v>790</v>
      </c>
      <c r="P87" s="24" t="str">
        <f t="shared" si="7"/>
        <v>Closed</v>
      </c>
      <c r="Q87" s="17" t="e">
        <v>#N/A</v>
      </c>
    </row>
    <row r="88" spans="1:17" ht="220.8" x14ac:dyDescent="0.3">
      <c r="A88" s="15">
        <f t="shared" si="6"/>
        <v>85</v>
      </c>
      <c r="B88" s="15" t="s">
        <v>19</v>
      </c>
      <c r="C88" s="15">
        <v>2023</v>
      </c>
      <c r="D88" s="15" t="s">
        <v>294</v>
      </c>
      <c r="E88" s="16" t="s">
        <v>295</v>
      </c>
      <c r="F88" s="25" t="s">
        <v>327</v>
      </c>
      <c r="G88" s="26" t="s">
        <v>328</v>
      </c>
      <c r="H88" s="25" t="s">
        <v>329</v>
      </c>
      <c r="I88" s="19" t="s">
        <v>50</v>
      </c>
      <c r="J88" s="20" t="s">
        <v>316</v>
      </c>
      <c r="K88" s="41" t="s">
        <v>299</v>
      </c>
      <c r="L88" s="45">
        <v>45473</v>
      </c>
      <c r="M88" s="23">
        <v>45657</v>
      </c>
      <c r="N88" s="19" t="str">
        <f t="shared" si="4"/>
        <v>Open Due</v>
      </c>
      <c r="O88" s="24">
        <f t="shared" si="5"/>
        <v>639</v>
      </c>
      <c r="P88" s="24" t="str">
        <f t="shared" si="7"/>
        <v>above one year</v>
      </c>
      <c r="Q88" s="17" t="s">
        <v>330</v>
      </c>
    </row>
    <row r="89" spans="1:17" ht="248.4" x14ac:dyDescent="0.3">
      <c r="A89" s="15">
        <f t="shared" si="6"/>
        <v>86</v>
      </c>
      <c r="B89" s="15" t="s">
        <v>19</v>
      </c>
      <c r="C89" s="15">
        <v>2023</v>
      </c>
      <c r="D89" s="15" t="s">
        <v>294</v>
      </c>
      <c r="E89" s="16" t="s">
        <v>295</v>
      </c>
      <c r="F89" s="25" t="s">
        <v>331</v>
      </c>
      <c r="G89" s="26" t="s">
        <v>332</v>
      </c>
      <c r="H89" s="25" t="s">
        <v>333</v>
      </c>
      <c r="I89" s="19" t="s">
        <v>50</v>
      </c>
      <c r="J89" s="20" t="s">
        <v>316</v>
      </c>
      <c r="K89" s="41" t="s">
        <v>299</v>
      </c>
      <c r="L89" s="45">
        <v>45565</v>
      </c>
      <c r="M89" s="23">
        <v>45565</v>
      </c>
      <c r="N89" s="19" t="str">
        <f t="shared" si="4"/>
        <v>Open Due</v>
      </c>
      <c r="O89" s="24">
        <f t="shared" si="5"/>
        <v>547</v>
      </c>
      <c r="P89" s="24" t="str">
        <f t="shared" si="7"/>
        <v>above one year</v>
      </c>
      <c r="Q89" s="17" t="s">
        <v>320</v>
      </c>
    </row>
    <row r="90" spans="1:17" ht="386.4" x14ac:dyDescent="0.3">
      <c r="A90" s="15">
        <f t="shared" si="6"/>
        <v>87</v>
      </c>
      <c r="B90" s="15" t="s">
        <v>19</v>
      </c>
      <c r="C90" s="15">
        <v>2023</v>
      </c>
      <c r="D90" s="15" t="s">
        <v>294</v>
      </c>
      <c r="E90" s="16" t="s">
        <v>295</v>
      </c>
      <c r="F90" s="25" t="s">
        <v>334</v>
      </c>
      <c r="G90" s="26" t="s">
        <v>335</v>
      </c>
      <c r="H90" s="25" t="s">
        <v>336</v>
      </c>
      <c r="I90" s="19" t="s">
        <v>50</v>
      </c>
      <c r="J90" s="20" t="s">
        <v>55</v>
      </c>
      <c r="K90" s="41" t="s">
        <v>299</v>
      </c>
      <c r="L90" s="45">
        <v>45473</v>
      </c>
      <c r="M90" s="23">
        <v>45565</v>
      </c>
      <c r="N90" s="19" t="str">
        <f t="shared" si="4"/>
        <v>Open Due</v>
      </c>
      <c r="O90" s="24">
        <f t="shared" si="5"/>
        <v>639</v>
      </c>
      <c r="P90" s="24" t="str">
        <f t="shared" si="7"/>
        <v>above one year</v>
      </c>
      <c r="Q90" s="17" t="s">
        <v>337</v>
      </c>
    </row>
    <row r="91" spans="1:17" ht="179.4" x14ac:dyDescent="0.3">
      <c r="A91" s="15">
        <f t="shared" si="6"/>
        <v>88</v>
      </c>
      <c r="B91" s="15" t="s">
        <v>19</v>
      </c>
      <c r="C91" s="15">
        <v>2023</v>
      </c>
      <c r="D91" s="15" t="s">
        <v>294</v>
      </c>
      <c r="E91" s="16" t="s">
        <v>295</v>
      </c>
      <c r="F91" s="25" t="s">
        <v>338</v>
      </c>
      <c r="G91" s="26" t="s">
        <v>339</v>
      </c>
      <c r="H91" s="25" t="s">
        <v>340</v>
      </c>
      <c r="I91" s="19" t="s">
        <v>50</v>
      </c>
      <c r="J91" s="20" t="s">
        <v>55</v>
      </c>
      <c r="K91" s="41" t="s">
        <v>299</v>
      </c>
      <c r="L91" s="45">
        <v>45657</v>
      </c>
      <c r="M91" s="23">
        <v>45657</v>
      </c>
      <c r="N91" s="19" t="str">
        <f t="shared" si="4"/>
        <v>Open Due</v>
      </c>
      <c r="O91" s="24">
        <f t="shared" si="5"/>
        <v>455</v>
      </c>
      <c r="P91" s="24" t="str">
        <f t="shared" si="7"/>
        <v>above one year</v>
      </c>
      <c r="Q91" s="17" t="s">
        <v>341</v>
      </c>
    </row>
    <row r="92" spans="1:17" ht="179.4" x14ac:dyDescent="0.3">
      <c r="A92" s="15">
        <f t="shared" si="6"/>
        <v>89</v>
      </c>
      <c r="B92" s="15" t="s">
        <v>19</v>
      </c>
      <c r="C92" s="15">
        <v>2023</v>
      </c>
      <c r="D92" s="15" t="s">
        <v>294</v>
      </c>
      <c r="E92" s="16" t="s">
        <v>295</v>
      </c>
      <c r="F92" s="25" t="s">
        <v>342</v>
      </c>
      <c r="G92" s="26" t="s">
        <v>343</v>
      </c>
      <c r="H92" s="25" t="s">
        <v>344</v>
      </c>
      <c r="I92" s="19" t="s">
        <v>50</v>
      </c>
      <c r="J92" s="20" t="s">
        <v>55</v>
      </c>
      <c r="K92" s="41" t="s">
        <v>299</v>
      </c>
      <c r="L92" s="45">
        <v>45657</v>
      </c>
      <c r="M92" s="23">
        <v>45657</v>
      </c>
      <c r="N92" s="19" t="str">
        <f t="shared" si="4"/>
        <v>Open Due</v>
      </c>
      <c r="O92" s="24">
        <f t="shared" si="5"/>
        <v>455</v>
      </c>
      <c r="P92" s="24" t="str">
        <f t="shared" si="7"/>
        <v>above one year</v>
      </c>
      <c r="Q92" s="17" t="s">
        <v>320</v>
      </c>
    </row>
    <row r="93" spans="1:17" ht="165.6" x14ac:dyDescent="0.3">
      <c r="A93" s="15">
        <f t="shared" si="6"/>
        <v>90</v>
      </c>
      <c r="B93" s="15" t="s">
        <v>19</v>
      </c>
      <c r="C93" s="15">
        <v>2023</v>
      </c>
      <c r="D93" s="15" t="s">
        <v>294</v>
      </c>
      <c r="E93" s="16" t="s">
        <v>295</v>
      </c>
      <c r="F93" s="25" t="s">
        <v>345</v>
      </c>
      <c r="G93" s="26" t="s">
        <v>346</v>
      </c>
      <c r="H93" s="25" t="s">
        <v>347</v>
      </c>
      <c r="I93" s="29" t="s">
        <v>50</v>
      </c>
      <c r="J93" s="20" t="s">
        <v>55</v>
      </c>
      <c r="K93" s="41" t="s">
        <v>299</v>
      </c>
      <c r="L93" s="45">
        <v>45382</v>
      </c>
      <c r="M93" s="22"/>
      <c r="N93" s="19" t="str">
        <f t="shared" si="4"/>
        <v>Closed</v>
      </c>
      <c r="O93" s="24">
        <f t="shared" si="5"/>
        <v>730</v>
      </c>
      <c r="P93" s="24" t="str">
        <f t="shared" si="7"/>
        <v>Closed</v>
      </c>
      <c r="Q93" s="17" t="e">
        <v>#N/A</v>
      </c>
    </row>
    <row r="94" spans="1:17" ht="179.4" x14ac:dyDescent="0.3">
      <c r="A94" s="15">
        <f t="shared" si="6"/>
        <v>91</v>
      </c>
      <c r="B94" s="15" t="s">
        <v>19</v>
      </c>
      <c r="C94" s="15">
        <v>2023</v>
      </c>
      <c r="D94" s="15" t="s">
        <v>294</v>
      </c>
      <c r="E94" s="16" t="s">
        <v>295</v>
      </c>
      <c r="F94" s="25" t="s">
        <v>348</v>
      </c>
      <c r="G94" s="26" t="s">
        <v>349</v>
      </c>
      <c r="H94" s="25" t="s">
        <v>350</v>
      </c>
      <c r="I94" s="29" t="s">
        <v>79</v>
      </c>
      <c r="J94" s="20" t="s">
        <v>316</v>
      </c>
      <c r="K94" s="41" t="s">
        <v>299</v>
      </c>
      <c r="L94" s="45">
        <v>45322</v>
      </c>
      <c r="M94" s="22"/>
      <c r="N94" s="19" t="str">
        <f t="shared" si="4"/>
        <v>Closed</v>
      </c>
      <c r="O94" s="24">
        <f t="shared" si="5"/>
        <v>790</v>
      </c>
      <c r="P94" s="24" t="str">
        <f t="shared" si="7"/>
        <v>Closed</v>
      </c>
      <c r="Q94" s="17" t="e">
        <v>#N/A</v>
      </c>
    </row>
    <row r="95" spans="1:17" ht="220.8" x14ac:dyDescent="0.3">
      <c r="A95" s="15">
        <f t="shared" si="6"/>
        <v>92</v>
      </c>
      <c r="B95" s="15" t="s">
        <v>19</v>
      </c>
      <c r="C95" s="15">
        <v>2023</v>
      </c>
      <c r="D95" s="15" t="s">
        <v>294</v>
      </c>
      <c r="E95" s="16" t="s">
        <v>295</v>
      </c>
      <c r="F95" s="25" t="s">
        <v>351</v>
      </c>
      <c r="G95" s="26" t="s">
        <v>352</v>
      </c>
      <c r="H95" s="25" t="s">
        <v>353</v>
      </c>
      <c r="I95" s="29" t="s">
        <v>79</v>
      </c>
      <c r="J95" s="20" t="s">
        <v>55</v>
      </c>
      <c r="K95" s="41" t="s">
        <v>299</v>
      </c>
      <c r="L95" s="45">
        <v>45382</v>
      </c>
      <c r="M95" s="23">
        <v>45657</v>
      </c>
      <c r="N95" s="19" t="str">
        <f t="shared" si="4"/>
        <v>Open Due</v>
      </c>
      <c r="O95" s="24">
        <f t="shared" si="5"/>
        <v>730</v>
      </c>
      <c r="P95" s="24" t="str">
        <f t="shared" si="7"/>
        <v>above one year</v>
      </c>
      <c r="Q95" s="17" t="s">
        <v>354</v>
      </c>
    </row>
    <row r="96" spans="1:17" ht="124.2" x14ac:dyDescent="0.3">
      <c r="A96" s="15">
        <f t="shared" si="6"/>
        <v>93</v>
      </c>
      <c r="B96" s="15" t="s">
        <v>19</v>
      </c>
      <c r="C96" s="15">
        <v>2023</v>
      </c>
      <c r="D96" s="15" t="s">
        <v>294</v>
      </c>
      <c r="E96" s="16" t="s">
        <v>295</v>
      </c>
      <c r="F96" s="25" t="s">
        <v>355</v>
      </c>
      <c r="G96" s="26" t="s">
        <v>356</v>
      </c>
      <c r="H96" s="25" t="s">
        <v>357</v>
      </c>
      <c r="I96" s="29" t="s">
        <v>79</v>
      </c>
      <c r="J96" s="20" t="s">
        <v>55</v>
      </c>
      <c r="K96" s="41" t="s">
        <v>299</v>
      </c>
      <c r="L96" s="45">
        <v>45473</v>
      </c>
      <c r="M96" s="23"/>
      <c r="N96" s="19" t="str">
        <f t="shared" si="4"/>
        <v>Closed</v>
      </c>
      <c r="O96" s="24">
        <f t="shared" si="5"/>
        <v>639</v>
      </c>
      <c r="P96" s="24" t="str">
        <f t="shared" si="7"/>
        <v>Closed</v>
      </c>
      <c r="Q96" s="17" t="s">
        <v>358</v>
      </c>
    </row>
    <row r="97" spans="1:17" ht="55.2" x14ac:dyDescent="0.3">
      <c r="A97" s="15">
        <f t="shared" si="6"/>
        <v>94</v>
      </c>
      <c r="B97" s="15" t="s">
        <v>19</v>
      </c>
      <c r="C97" s="15">
        <v>2023</v>
      </c>
      <c r="D97" s="15" t="s">
        <v>359</v>
      </c>
      <c r="E97" s="16" t="s">
        <v>360</v>
      </c>
      <c r="F97" s="25" t="s">
        <v>361</v>
      </c>
      <c r="G97" s="26" t="s">
        <v>362</v>
      </c>
      <c r="H97" s="25" t="s">
        <v>363</v>
      </c>
      <c r="I97" s="19" t="s">
        <v>50</v>
      </c>
      <c r="J97" s="20" t="s">
        <v>26</v>
      </c>
      <c r="K97" s="41" t="s">
        <v>32</v>
      </c>
      <c r="L97" s="45">
        <v>45473</v>
      </c>
      <c r="M97" s="23"/>
      <c r="N97" s="19" t="str">
        <f t="shared" si="4"/>
        <v>Closed</v>
      </c>
      <c r="O97" s="24">
        <f t="shared" si="5"/>
        <v>639</v>
      </c>
      <c r="P97" s="24" t="str">
        <f t="shared" si="7"/>
        <v>Closed</v>
      </c>
      <c r="Q97" s="17" t="e">
        <v>#N/A</v>
      </c>
    </row>
    <row r="98" spans="1:17" ht="179.4" x14ac:dyDescent="0.3">
      <c r="A98" s="15">
        <f t="shared" si="6"/>
        <v>95</v>
      </c>
      <c r="B98" s="15" t="s">
        <v>19</v>
      </c>
      <c r="C98" s="15">
        <v>2023</v>
      </c>
      <c r="D98" s="15" t="s">
        <v>359</v>
      </c>
      <c r="E98" s="16" t="s">
        <v>360</v>
      </c>
      <c r="F98" s="25" t="s">
        <v>364</v>
      </c>
      <c r="G98" s="26" t="s">
        <v>365</v>
      </c>
      <c r="H98" s="25" t="s">
        <v>366</v>
      </c>
      <c r="I98" s="19" t="s">
        <v>50</v>
      </c>
      <c r="J98" s="20" t="s">
        <v>55</v>
      </c>
      <c r="K98" s="41" t="s">
        <v>32</v>
      </c>
      <c r="L98" s="45">
        <v>45473</v>
      </c>
      <c r="M98" s="23">
        <v>45657</v>
      </c>
      <c r="N98" s="19" t="str">
        <f t="shared" si="4"/>
        <v>Open Due</v>
      </c>
      <c r="O98" s="24">
        <f t="shared" si="5"/>
        <v>639</v>
      </c>
      <c r="P98" s="24" t="str">
        <f t="shared" si="7"/>
        <v>above one year</v>
      </c>
      <c r="Q98" s="17" t="s">
        <v>367</v>
      </c>
    </row>
    <row r="99" spans="1:17" ht="96.6" x14ac:dyDescent="0.3">
      <c r="A99" s="15">
        <f t="shared" si="6"/>
        <v>96</v>
      </c>
      <c r="B99" s="15" t="s">
        <v>19</v>
      </c>
      <c r="C99" s="15">
        <v>2023</v>
      </c>
      <c r="D99" s="15" t="s">
        <v>359</v>
      </c>
      <c r="E99" s="16" t="s">
        <v>360</v>
      </c>
      <c r="F99" s="25" t="s">
        <v>368</v>
      </c>
      <c r="G99" s="26" t="s">
        <v>369</v>
      </c>
      <c r="H99" s="25" t="s">
        <v>370</v>
      </c>
      <c r="I99" s="19" t="s">
        <v>50</v>
      </c>
      <c r="J99" s="20" t="s">
        <v>45</v>
      </c>
      <c r="K99" s="41" t="s">
        <v>32</v>
      </c>
      <c r="L99" s="45">
        <v>45473</v>
      </c>
      <c r="M99" s="23"/>
      <c r="N99" s="19" t="str">
        <f t="shared" si="4"/>
        <v>Closed</v>
      </c>
      <c r="O99" s="24">
        <f t="shared" si="5"/>
        <v>639</v>
      </c>
      <c r="P99" s="24" t="str">
        <f t="shared" si="7"/>
        <v>Closed</v>
      </c>
      <c r="Q99" s="17" t="e">
        <v>#N/A</v>
      </c>
    </row>
    <row r="100" spans="1:17" ht="82.8" x14ac:dyDescent="0.3">
      <c r="A100" s="15">
        <f t="shared" si="6"/>
        <v>97</v>
      </c>
      <c r="B100" s="15" t="s">
        <v>19</v>
      </c>
      <c r="C100" s="15">
        <v>2023</v>
      </c>
      <c r="D100" s="15" t="s">
        <v>359</v>
      </c>
      <c r="E100" s="16" t="s">
        <v>360</v>
      </c>
      <c r="F100" s="25" t="s">
        <v>371</v>
      </c>
      <c r="G100" s="26" t="s">
        <v>372</v>
      </c>
      <c r="H100" s="25" t="s">
        <v>373</v>
      </c>
      <c r="I100" s="19" t="s">
        <v>50</v>
      </c>
      <c r="J100" s="20" t="s">
        <v>55</v>
      </c>
      <c r="K100" s="41" t="s">
        <v>32</v>
      </c>
      <c r="L100" s="45">
        <v>45473</v>
      </c>
      <c r="M100" s="23"/>
      <c r="N100" s="19" t="str">
        <f t="shared" si="4"/>
        <v>Closed</v>
      </c>
      <c r="O100" s="24">
        <f t="shared" si="5"/>
        <v>639</v>
      </c>
      <c r="P100" s="24" t="str">
        <f t="shared" si="7"/>
        <v>Closed</v>
      </c>
      <c r="Q100" s="17" t="e">
        <v>#N/A</v>
      </c>
    </row>
    <row r="101" spans="1:17" ht="207" x14ac:dyDescent="0.3">
      <c r="A101" s="15">
        <f t="shared" si="6"/>
        <v>98</v>
      </c>
      <c r="B101" s="15" t="s">
        <v>19</v>
      </c>
      <c r="C101" s="15">
        <v>2023</v>
      </c>
      <c r="D101" s="15" t="s">
        <v>359</v>
      </c>
      <c r="E101" s="16" t="s">
        <v>360</v>
      </c>
      <c r="F101" s="25" t="s">
        <v>374</v>
      </c>
      <c r="G101" s="26" t="s">
        <v>375</v>
      </c>
      <c r="H101" s="25" t="s">
        <v>376</v>
      </c>
      <c r="I101" s="19" t="s">
        <v>50</v>
      </c>
      <c r="J101" s="20" t="s">
        <v>55</v>
      </c>
      <c r="K101" s="41" t="s">
        <v>32</v>
      </c>
      <c r="L101" s="45">
        <v>45473</v>
      </c>
      <c r="M101" s="23">
        <v>45657</v>
      </c>
      <c r="N101" s="19" t="str">
        <f t="shared" si="4"/>
        <v>Open Due</v>
      </c>
      <c r="O101" s="24">
        <f t="shared" si="5"/>
        <v>639</v>
      </c>
      <c r="P101" s="24" t="str">
        <f t="shared" si="7"/>
        <v>above one year</v>
      </c>
      <c r="Q101" s="17" t="s">
        <v>377</v>
      </c>
    </row>
    <row r="102" spans="1:17" ht="138" x14ac:dyDescent="0.3">
      <c r="A102" s="15">
        <f t="shared" si="6"/>
        <v>99</v>
      </c>
      <c r="B102" s="15" t="s">
        <v>19</v>
      </c>
      <c r="C102" s="15">
        <v>2023</v>
      </c>
      <c r="D102" s="15" t="s">
        <v>20</v>
      </c>
      <c r="E102" s="16" t="s">
        <v>378</v>
      </c>
      <c r="F102" s="25" t="s">
        <v>379</v>
      </c>
      <c r="G102" s="26" t="s">
        <v>380</v>
      </c>
      <c r="H102" s="25" t="s">
        <v>381</v>
      </c>
      <c r="I102" s="19" t="s">
        <v>50</v>
      </c>
      <c r="J102" s="20" t="s">
        <v>55</v>
      </c>
      <c r="K102" s="41" t="s">
        <v>27</v>
      </c>
      <c r="L102" s="45">
        <v>45565</v>
      </c>
      <c r="M102" s="22"/>
      <c r="N102" s="19" t="str">
        <f t="shared" si="4"/>
        <v>Closed</v>
      </c>
      <c r="O102" s="24">
        <f t="shared" si="5"/>
        <v>547</v>
      </c>
      <c r="P102" s="24" t="str">
        <f t="shared" si="7"/>
        <v>Closed</v>
      </c>
      <c r="Q102" s="17" t="e">
        <v>#N/A</v>
      </c>
    </row>
    <row r="103" spans="1:17" ht="207" x14ac:dyDescent="0.3">
      <c r="A103" s="15">
        <f t="shared" si="6"/>
        <v>100</v>
      </c>
      <c r="B103" s="15" t="s">
        <v>19</v>
      </c>
      <c r="C103" s="15">
        <v>2023</v>
      </c>
      <c r="D103" s="15" t="s">
        <v>20</v>
      </c>
      <c r="E103" s="16" t="s">
        <v>378</v>
      </c>
      <c r="F103" s="25" t="s">
        <v>382</v>
      </c>
      <c r="G103" s="26" t="s">
        <v>383</v>
      </c>
      <c r="H103" s="25" t="s">
        <v>384</v>
      </c>
      <c r="I103" s="19" t="s">
        <v>50</v>
      </c>
      <c r="J103" s="20" t="s">
        <v>37</v>
      </c>
      <c r="K103" s="41" t="s">
        <v>27</v>
      </c>
      <c r="L103" s="45">
        <v>45412</v>
      </c>
      <c r="M103" s="22"/>
      <c r="N103" s="19" t="str">
        <f t="shared" si="4"/>
        <v>Closed</v>
      </c>
      <c r="O103" s="24">
        <f t="shared" si="5"/>
        <v>700</v>
      </c>
      <c r="P103" s="24" t="str">
        <f t="shared" si="7"/>
        <v>Closed</v>
      </c>
      <c r="Q103" s="17" t="e">
        <v>#N/A</v>
      </c>
    </row>
    <row r="104" spans="1:17" ht="41.4" x14ac:dyDescent="0.3">
      <c r="A104" s="15">
        <f t="shared" si="6"/>
        <v>101</v>
      </c>
      <c r="B104" s="15" t="s">
        <v>19</v>
      </c>
      <c r="C104" s="15">
        <v>2023</v>
      </c>
      <c r="D104" s="15" t="s">
        <v>20</v>
      </c>
      <c r="E104" s="16" t="s">
        <v>378</v>
      </c>
      <c r="F104" s="25" t="s">
        <v>385</v>
      </c>
      <c r="G104" s="26" t="s">
        <v>386</v>
      </c>
      <c r="H104" s="25" t="s">
        <v>387</v>
      </c>
      <c r="I104" s="19" t="s">
        <v>388</v>
      </c>
      <c r="J104" s="20" t="s">
        <v>55</v>
      </c>
      <c r="K104" s="41" t="s">
        <v>27</v>
      </c>
      <c r="L104" s="45">
        <v>45322</v>
      </c>
      <c r="M104" s="22"/>
      <c r="N104" s="19" t="str">
        <f t="shared" si="4"/>
        <v>Closed</v>
      </c>
      <c r="O104" s="24">
        <f t="shared" si="5"/>
        <v>790</v>
      </c>
      <c r="P104" s="24" t="str">
        <f t="shared" si="7"/>
        <v>Closed</v>
      </c>
      <c r="Q104" s="17" t="e">
        <v>#N/A</v>
      </c>
    </row>
    <row r="105" spans="1:17" ht="55.2" x14ac:dyDescent="0.3">
      <c r="A105" s="15">
        <f t="shared" si="6"/>
        <v>102</v>
      </c>
      <c r="B105" s="15" t="s">
        <v>19</v>
      </c>
      <c r="C105" s="15">
        <v>2023</v>
      </c>
      <c r="D105" s="15" t="s">
        <v>294</v>
      </c>
      <c r="E105" s="16" t="s">
        <v>389</v>
      </c>
      <c r="F105" s="25" t="s">
        <v>390</v>
      </c>
      <c r="G105" s="26" t="s">
        <v>391</v>
      </c>
      <c r="H105" s="25" t="s">
        <v>392</v>
      </c>
      <c r="I105" s="19" t="s">
        <v>50</v>
      </c>
      <c r="J105" s="20" t="s">
        <v>26</v>
      </c>
      <c r="K105" s="41" t="s">
        <v>299</v>
      </c>
      <c r="L105" s="45">
        <v>45473</v>
      </c>
      <c r="M105" s="22"/>
      <c r="N105" s="19" t="str">
        <f t="shared" si="4"/>
        <v>Closed</v>
      </c>
      <c r="O105" s="24">
        <f t="shared" si="5"/>
        <v>639</v>
      </c>
      <c r="P105" s="24" t="str">
        <f t="shared" si="7"/>
        <v>Closed</v>
      </c>
      <c r="Q105" s="17" t="e">
        <v>#N/A</v>
      </c>
    </row>
    <row r="106" spans="1:17" ht="41.4" x14ac:dyDescent="0.3">
      <c r="A106" s="15">
        <f t="shared" si="6"/>
        <v>103</v>
      </c>
      <c r="B106" s="15" t="s">
        <v>19</v>
      </c>
      <c r="C106" s="15">
        <v>2023</v>
      </c>
      <c r="D106" s="15" t="s">
        <v>294</v>
      </c>
      <c r="E106" s="16" t="s">
        <v>389</v>
      </c>
      <c r="F106" s="25" t="s">
        <v>393</v>
      </c>
      <c r="G106" s="26" t="s">
        <v>394</v>
      </c>
      <c r="H106" s="25" t="s">
        <v>395</v>
      </c>
      <c r="I106" s="29" t="s">
        <v>50</v>
      </c>
      <c r="J106" s="19" t="s">
        <v>55</v>
      </c>
      <c r="K106" s="41" t="s">
        <v>299</v>
      </c>
      <c r="L106" s="45">
        <v>45382</v>
      </c>
      <c r="M106" s="22"/>
      <c r="N106" s="19" t="str">
        <f t="shared" si="4"/>
        <v>Closed</v>
      </c>
      <c r="O106" s="24">
        <f t="shared" si="5"/>
        <v>730</v>
      </c>
      <c r="P106" s="24" t="str">
        <f t="shared" si="7"/>
        <v>Closed</v>
      </c>
      <c r="Q106" s="17" t="e">
        <v>#N/A</v>
      </c>
    </row>
    <row r="107" spans="1:17" ht="96.6" x14ac:dyDescent="0.3">
      <c r="A107" s="15">
        <f t="shared" si="6"/>
        <v>104</v>
      </c>
      <c r="B107" s="15" t="s">
        <v>19</v>
      </c>
      <c r="C107" s="15">
        <v>2023</v>
      </c>
      <c r="D107" s="15" t="s">
        <v>294</v>
      </c>
      <c r="E107" s="16" t="s">
        <v>389</v>
      </c>
      <c r="F107" s="25" t="s">
        <v>396</v>
      </c>
      <c r="G107" s="26" t="s">
        <v>397</v>
      </c>
      <c r="H107" s="25" t="s">
        <v>370</v>
      </c>
      <c r="I107" s="19" t="s">
        <v>50</v>
      </c>
      <c r="J107" s="20" t="s">
        <v>45</v>
      </c>
      <c r="K107" s="41" t="s">
        <v>299</v>
      </c>
      <c r="L107" s="45">
        <v>45473</v>
      </c>
      <c r="M107" s="23">
        <v>45565</v>
      </c>
      <c r="N107" s="19" t="str">
        <f t="shared" si="4"/>
        <v>Open Due</v>
      </c>
      <c r="O107" s="24">
        <f t="shared" si="5"/>
        <v>639</v>
      </c>
      <c r="P107" s="24" t="str">
        <f t="shared" si="7"/>
        <v>above one year</v>
      </c>
      <c r="Q107" s="17" t="s">
        <v>398</v>
      </c>
    </row>
    <row r="108" spans="1:17" ht="82.8" x14ac:dyDescent="0.3">
      <c r="A108" s="15">
        <f t="shared" si="6"/>
        <v>105</v>
      </c>
      <c r="B108" s="15" t="s">
        <v>19</v>
      </c>
      <c r="C108" s="15">
        <v>2023</v>
      </c>
      <c r="D108" s="15" t="s">
        <v>294</v>
      </c>
      <c r="E108" s="16" t="s">
        <v>389</v>
      </c>
      <c r="F108" s="25" t="s">
        <v>399</v>
      </c>
      <c r="G108" s="26" t="s">
        <v>400</v>
      </c>
      <c r="H108" s="25" t="s">
        <v>401</v>
      </c>
      <c r="I108" s="29" t="s">
        <v>79</v>
      </c>
      <c r="J108" s="20" t="s">
        <v>55</v>
      </c>
      <c r="K108" s="41" t="s">
        <v>299</v>
      </c>
      <c r="L108" s="45">
        <v>45351</v>
      </c>
      <c r="M108" s="22">
        <v>45535</v>
      </c>
      <c r="N108" s="19" t="str">
        <f t="shared" si="4"/>
        <v>Open Due</v>
      </c>
      <c r="O108" s="24">
        <f t="shared" si="5"/>
        <v>761</v>
      </c>
      <c r="P108" s="24" t="str">
        <f t="shared" si="7"/>
        <v>above one year</v>
      </c>
      <c r="Q108" s="17" t="s">
        <v>402</v>
      </c>
    </row>
    <row r="109" spans="1:17" ht="207" x14ac:dyDescent="0.3">
      <c r="A109" s="15">
        <f t="shared" si="6"/>
        <v>106</v>
      </c>
      <c r="B109" s="15" t="s">
        <v>19</v>
      </c>
      <c r="C109" s="15">
        <v>2023</v>
      </c>
      <c r="D109" s="15" t="s">
        <v>294</v>
      </c>
      <c r="E109" s="16" t="s">
        <v>389</v>
      </c>
      <c r="F109" s="25" t="s">
        <v>403</v>
      </c>
      <c r="G109" s="26" t="s">
        <v>404</v>
      </c>
      <c r="H109" s="25" t="s">
        <v>405</v>
      </c>
      <c r="I109" s="29" t="s">
        <v>79</v>
      </c>
      <c r="J109" s="20" t="s">
        <v>55</v>
      </c>
      <c r="K109" s="41" t="s">
        <v>299</v>
      </c>
      <c r="L109" s="45">
        <v>45382</v>
      </c>
      <c r="M109" s="22"/>
      <c r="N109" s="19" t="str">
        <f t="shared" si="4"/>
        <v>Closed</v>
      </c>
      <c r="O109" s="24">
        <f t="shared" si="5"/>
        <v>730</v>
      </c>
      <c r="P109" s="24" t="str">
        <f t="shared" si="7"/>
        <v>Closed</v>
      </c>
      <c r="Q109" s="17" t="e">
        <v>#N/A</v>
      </c>
    </row>
    <row r="110" spans="1:17" ht="82.8" x14ac:dyDescent="0.3">
      <c r="A110" s="15">
        <f t="shared" si="6"/>
        <v>107</v>
      </c>
      <c r="B110" s="15" t="s">
        <v>19</v>
      </c>
      <c r="C110" s="15">
        <v>2023</v>
      </c>
      <c r="D110" s="15" t="s">
        <v>406</v>
      </c>
      <c r="E110" s="16" t="s">
        <v>407</v>
      </c>
      <c r="F110" s="25" t="s">
        <v>408</v>
      </c>
      <c r="G110" s="26" t="s">
        <v>409</v>
      </c>
      <c r="H110" s="25" t="s">
        <v>410</v>
      </c>
      <c r="I110" s="19" t="s">
        <v>50</v>
      </c>
      <c r="J110" s="20" t="s">
        <v>45</v>
      </c>
      <c r="K110" s="41" t="s">
        <v>411</v>
      </c>
      <c r="L110" s="45">
        <v>45658</v>
      </c>
      <c r="M110" s="23">
        <v>45658</v>
      </c>
      <c r="N110" s="19" t="str">
        <f t="shared" si="4"/>
        <v>Open Due</v>
      </c>
      <c r="O110" s="24">
        <f t="shared" si="5"/>
        <v>454</v>
      </c>
      <c r="P110" s="24" t="str">
        <f t="shared" si="7"/>
        <v>above one year</v>
      </c>
      <c r="Q110" s="17" t="s">
        <v>410</v>
      </c>
    </row>
    <row r="111" spans="1:17" ht="331.2" x14ac:dyDescent="0.3">
      <c r="A111" s="15">
        <f t="shared" si="6"/>
        <v>108</v>
      </c>
      <c r="B111" s="15" t="s">
        <v>19</v>
      </c>
      <c r="C111" s="15">
        <v>2023</v>
      </c>
      <c r="D111" s="15" t="s">
        <v>406</v>
      </c>
      <c r="E111" s="16" t="s">
        <v>407</v>
      </c>
      <c r="F111" s="25" t="s">
        <v>412</v>
      </c>
      <c r="G111" s="26" t="s">
        <v>413</v>
      </c>
      <c r="H111" s="25" t="s">
        <v>414</v>
      </c>
      <c r="I111" s="46" t="s">
        <v>50</v>
      </c>
      <c r="J111" s="20" t="s">
        <v>26</v>
      </c>
      <c r="K111" s="41" t="s">
        <v>411</v>
      </c>
      <c r="L111" s="45">
        <v>45657</v>
      </c>
      <c r="M111" s="23">
        <v>45657</v>
      </c>
      <c r="N111" s="19" t="str">
        <f t="shared" si="4"/>
        <v>Open Due</v>
      </c>
      <c r="O111" s="24">
        <f t="shared" si="5"/>
        <v>455</v>
      </c>
      <c r="P111" s="24" t="str">
        <f t="shared" si="7"/>
        <v>above one year</v>
      </c>
      <c r="Q111" s="17" t="s">
        <v>415</v>
      </c>
    </row>
    <row r="112" spans="1:17" ht="179.4" x14ac:dyDescent="0.3">
      <c r="A112" s="15">
        <f t="shared" si="6"/>
        <v>109</v>
      </c>
      <c r="B112" s="15" t="s">
        <v>19</v>
      </c>
      <c r="C112" s="15">
        <v>2023</v>
      </c>
      <c r="D112" s="15" t="s">
        <v>406</v>
      </c>
      <c r="E112" s="16" t="s">
        <v>407</v>
      </c>
      <c r="F112" s="25" t="s">
        <v>416</v>
      </c>
      <c r="G112" s="26" t="s">
        <v>417</v>
      </c>
      <c r="H112" s="25" t="s">
        <v>418</v>
      </c>
      <c r="I112" s="29" t="s">
        <v>79</v>
      </c>
      <c r="J112" s="20" t="s">
        <v>74</v>
      </c>
      <c r="K112" s="41" t="s">
        <v>411</v>
      </c>
      <c r="L112" s="45">
        <v>45657</v>
      </c>
      <c r="M112" s="23">
        <v>45657</v>
      </c>
      <c r="N112" s="19" t="str">
        <f t="shared" si="4"/>
        <v>Open Due</v>
      </c>
      <c r="O112" s="24">
        <f t="shared" si="5"/>
        <v>455</v>
      </c>
      <c r="P112" s="24" t="str">
        <f t="shared" si="7"/>
        <v>above one year</v>
      </c>
      <c r="Q112" s="17" t="s">
        <v>419</v>
      </c>
    </row>
    <row r="113" spans="1:17" ht="96.6" x14ac:dyDescent="0.3">
      <c r="A113" s="15">
        <f t="shared" si="6"/>
        <v>110</v>
      </c>
      <c r="B113" s="15" t="s">
        <v>19</v>
      </c>
      <c r="C113" s="15">
        <v>2023</v>
      </c>
      <c r="D113" s="15" t="s">
        <v>420</v>
      </c>
      <c r="E113" s="16" t="s">
        <v>421</v>
      </c>
      <c r="F113" s="25" t="s">
        <v>422</v>
      </c>
      <c r="G113" s="26" t="s">
        <v>423</v>
      </c>
      <c r="H113" s="25" t="s">
        <v>424</v>
      </c>
      <c r="I113" s="29" t="s">
        <v>50</v>
      </c>
      <c r="J113" s="20" t="s">
        <v>26</v>
      </c>
      <c r="K113" s="41" t="s">
        <v>425</v>
      </c>
      <c r="L113" s="45">
        <v>45382</v>
      </c>
      <c r="M113" s="22"/>
      <c r="N113" s="19" t="str">
        <f t="shared" si="4"/>
        <v>Closed</v>
      </c>
      <c r="O113" s="24">
        <f t="shared" si="5"/>
        <v>730</v>
      </c>
      <c r="P113" s="24" t="str">
        <f t="shared" si="7"/>
        <v>Closed</v>
      </c>
      <c r="Q113" s="17" t="e">
        <v>#N/A</v>
      </c>
    </row>
    <row r="114" spans="1:17" ht="69" x14ac:dyDescent="0.3">
      <c r="A114" s="15">
        <f t="shared" si="6"/>
        <v>111</v>
      </c>
      <c r="B114" s="15" t="s">
        <v>19</v>
      </c>
      <c r="C114" s="15">
        <v>2023</v>
      </c>
      <c r="D114" s="15" t="s">
        <v>420</v>
      </c>
      <c r="E114" s="16" t="s">
        <v>421</v>
      </c>
      <c r="F114" s="25" t="s">
        <v>426</v>
      </c>
      <c r="G114" s="26" t="s">
        <v>427</v>
      </c>
      <c r="H114" s="25" t="s">
        <v>428</v>
      </c>
      <c r="I114" s="29" t="s">
        <v>388</v>
      </c>
      <c r="J114" s="20" t="s">
        <v>55</v>
      </c>
      <c r="K114" s="41" t="s">
        <v>425</v>
      </c>
      <c r="L114" s="45">
        <v>45350</v>
      </c>
      <c r="M114" s="22"/>
      <c r="N114" s="19" t="str">
        <f t="shared" si="4"/>
        <v>Closed</v>
      </c>
      <c r="O114" s="24">
        <f t="shared" si="5"/>
        <v>762</v>
      </c>
      <c r="P114" s="24" t="str">
        <f t="shared" si="7"/>
        <v>Closed</v>
      </c>
      <c r="Q114" s="17" t="e">
        <v>#N/A</v>
      </c>
    </row>
    <row r="115" spans="1:17" ht="69" x14ac:dyDescent="0.3">
      <c r="A115" s="15">
        <f t="shared" si="6"/>
        <v>112</v>
      </c>
      <c r="B115" s="15" t="s">
        <v>19</v>
      </c>
      <c r="C115" s="15">
        <v>2023</v>
      </c>
      <c r="D115" s="15" t="s">
        <v>420</v>
      </c>
      <c r="E115" s="16" t="s">
        <v>421</v>
      </c>
      <c r="F115" s="25" t="s">
        <v>429</v>
      </c>
      <c r="G115" s="26" t="s">
        <v>430</v>
      </c>
      <c r="H115" s="25" t="s">
        <v>431</v>
      </c>
      <c r="I115" s="29" t="s">
        <v>388</v>
      </c>
      <c r="J115" s="20" t="s">
        <v>55</v>
      </c>
      <c r="K115" s="41" t="s">
        <v>425</v>
      </c>
      <c r="L115" s="45">
        <v>45382</v>
      </c>
      <c r="M115" s="22"/>
      <c r="N115" s="19" t="str">
        <f t="shared" si="4"/>
        <v>Closed</v>
      </c>
      <c r="O115" s="24">
        <f t="shared" si="5"/>
        <v>730</v>
      </c>
      <c r="P115" s="24" t="str">
        <f t="shared" si="7"/>
        <v>Closed</v>
      </c>
      <c r="Q115" s="17" t="e">
        <v>#N/A</v>
      </c>
    </row>
    <row r="116" spans="1:17" ht="82.8" x14ac:dyDescent="0.3">
      <c r="A116" s="15">
        <f t="shared" si="6"/>
        <v>113</v>
      </c>
      <c r="B116" s="15" t="s">
        <v>19</v>
      </c>
      <c r="C116" s="15">
        <v>2023</v>
      </c>
      <c r="D116" s="15" t="s">
        <v>420</v>
      </c>
      <c r="E116" s="16" t="s">
        <v>421</v>
      </c>
      <c r="F116" s="25" t="s">
        <v>432</v>
      </c>
      <c r="G116" s="26" t="s">
        <v>433</v>
      </c>
      <c r="H116" s="25" t="s">
        <v>434</v>
      </c>
      <c r="I116" s="29" t="s">
        <v>388</v>
      </c>
      <c r="J116" s="20" t="s">
        <v>55</v>
      </c>
      <c r="K116" s="41" t="s">
        <v>425</v>
      </c>
      <c r="L116" s="45">
        <v>45350</v>
      </c>
      <c r="M116" s="23">
        <v>45535</v>
      </c>
      <c r="N116" s="19" t="str">
        <f t="shared" si="4"/>
        <v>Open Due</v>
      </c>
      <c r="O116" s="24">
        <f t="shared" si="5"/>
        <v>762</v>
      </c>
      <c r="P116" s="24" t="str">
        <f t="shared" si="7"/>
        <v>above one year</v>
      </c>
      <c r="Q116" s="17" t="s">
        <v>435</v>
      </c>
    </row>
    <row r="117" spans="1:17" ht="372.6" x14ac:dyDescent="0.3">
      <c r="A117" s="15">
        <f t="shared" si="6"/>
        <v>114</v>
      </c>
      <c r="B117" s="15" t="s">
        <v>19</v>
      </c>
      <c r="C117" s="15">
        <v>2024</v>
      </c>
      <c r="D117" s="15" t="s">
        <v>436</v>
      </c>
      <c r="E117" s="15" t="s">
        <v>436</v>
      </c>
      <c r="F117" s="25" t="s">
        <v>437</v>
      </c>
      <c r="G117" s="26" t="s">
        <v>438</v>
      </c>
      <c r="H117" s="25" t="s">
        <v>439</v>
      </c>
      <c r="I117" s="29" t="s">
        <v>50</v>
      </c>
      <c r="J117" s="20" t="s">
        <v>55</v>
      </c>
      <c r="K117" s="41" t="s">
        <v>440</v>
      </c>
      <c r="L117" s="45">
        <v>45596</v>
      </c>
      <c r="M117" s="23"/>
      <c r="N117" s="19" t="str">
        <f t="shared" si="4"/>
        <v>Closed</v>
      </c>
      <c r="O117" s="24">
        <f t="shared" si="5"/>
        <v>516</v>
      </c>
      <c r="P117" s="24" t="str">
        <f t="shared" si="7"/>
        <v>Closed</v>
      </c>
      <c r="Q117" s="17" t="e">
        <v>#N/A</v>
      </c>
    </row>
    <row r="118" spans="1:17" ht="331.2" x14ac:dyDescent="0.3">
      <c r="A118" s="15">
        <f t="shared" si="6"/>
        <v>115</v>
      </c>
      <c r="B118" s="15" t="s">
        <v>19</v>
      </c>
      <c r="C118" s="15">
        <v>2024</v>
      </c>
      <c r="D118" s="15" t="s">
        <v>436</v>
      </c>
      <c r="E118" s="15" t="s">
        <v>436</v>
      </c>
      <c r="F118" s="25" t="s">
        <v>441</v>
      </c>
      <c r="G118" s="26" t="s">
        <v>442</v>
      </c>
      <c r="H118" s="25" t="s">
        <v>443</v>
      </c>
      <c r="I118" s="29" t="s">
        <v>50</v>
      </c>
      <c r="J118" s="20" t="s">
        <v>26</v>
      </c>
      <c r="K118" s="41" t="s">
        <v>440</v>
      </c>
      <c r="L118" s="45">
        <v>45716</v>
      </c>
      <c r="M118" s="23">
        <v>45716</v>
      </c>
      <c r="N118" s="19" t="str">
        <f t="shared" si="4"/>
        <v>Open Due</v>
      </c>
      <c r="O118" s="24">
        <f t="shared" si="5"/>
        <v>396</v>
      </c>
      <c r="P118" s="24" t="str">
        <f t="shared" si="7"/>
        <v>above one year</v>
      </c>
      <c r="Q118" s="17" t="s">
        <v>444</v>
      </c>
    </row>
    <row r="119" spans="1:17" ht="248.4" x14ac:dyDescent="0.3">
      <c r="A119" s="15">
        <f t="shared" si="6"/>
        <v>116</v>
      </c>
      <c r="B119" s="15" t="s">
        <v>19</v>
      </c>
      <c r="C119" s="15">
        <v>2024</v>
      </c>
      <c r="D119" s="15" t="s">
        <v>436</v>
      </c>
      <c r="E119" s="15" t="s">
        <v>436</v>
      </c>
      <c r="F119" s="25" t="s">
        <v>445</v>
      </c>
      <c r="G119" s="26" t="s">
        <v>446</v>
      </c>
      <c r="H119" s="25" t="s">
        <v>447</v>
      </c>
      <c r="I119" s="29" t="s">
        <v>79</v>
      </c>
      <c r="J119" s="20" t="s">
        <v>55</v>
      </c>
      <c r="K119" s="41" t="s">
        <v>448</v>
      </c>
      <c r="L119" s="45">
        <v>45688</v>
      </c>
      <c r="M119" s="23"/>
      <c r="N119" s="19" t="str">
        <f t="shared" si="4"/>
        <v>Closed</v>
      </c>
      <c r="O119" s="24">
        <f t="shared" si="5"/>
        <v>424</v>
      </c>
      <c r="P119" s="24" t="str">
        <f t="shared" si="7"/>
        <v>Closed</v>
      </c>
      <c r="Q119" s="17" t="e">
        <v>#N/A</v>
      </c>
    </row>
    <row r="120" spans="1:17" ht="82.8" x14ac:dyDescent="0.3">
      <c r="A120" s="15">
        <f t="shared" si="6"/>
        <v>117</v>
      </c>
      <c r="B120" s="15" t="s">
        <v>19</v>
      </c>
      <c r="C120" s="15">
        <v>2024</v>
      </c>
      <c r="D120" s="15" t="s">
        <v>436</v>
      </c>
      <c r="E120" s="15" t="s">
        <v>436</v>
      </c>
      <c r="F120" s="25" t="s">
        <v>449</v>
      </c>
      <c r="G120" s="26" t="s">
        <v>450</v>
      </c>
      <c r="H120" s="25" t="s">
        <v>451</v>
      </c>
      <c r="I120" s="29" t="s">
        <v>79</v>
      </c>
      <c r="J120" s="20" t="s">
        <v>55</v>
      </c>
      <c r="K120" s="41" t="s">
        <v>440</v>
      </c>
      <c r="L120" s="45">
        <v>45688</v>
      </c>
      <c r="M120" s="23"/>
      <c r="N120" s="19" t="str">
        <f t="shared" si="4"/>
        <v>Closed</v>
      </c>
      <c r="O120" s="24">
        <f t="shared" si="5"/>
        <v>424</v>
      </c>
      <c r="P120" s="24" t="str">
        <f t="shared" si="7"/>
        <v>Closed</v>
      </c>
      <c r="Q120" s="17" t="e">
        <v>#N/A</v>
      </c>
    </row>
    <row r="121" spans="1:17" ht="138" x14ac:dyDescent="0.3">
      <c r="A121" s="15">
        <f t="shared" si="6"/>
        <v>118</v>
      </c>
      <c r="B121" s="15" t="s">
        <v>19</v>
      </c>
      <c r="C121" s="15">
        <v>2024</v>
      </c>
      <c r="D121" s="15" t="s">
        <v>436</v>
      </c>
      <c r="E121" s="15" t="s">
        <v>436</v>
      </c>
      <c r="F121" s="25" t="s">
        <v>452</v>
      </c>
      <c r="G121" s="26" t="s">
        <v>453</v>
      </c>
      <c r="H121" s="25" t="s">
        <v>454</v>
      </c>
      <c r="I121" s="29" t="s">
        <v>79</v>
      </c>
      <c r="J121" s="20" t="s">
        <v>55</v>
      </c>
      <c r="K121" s="41" t="s">
        <v>455</v>
      </c>
      <c r="L121" s="45">
        <v>45688</v>
      </c>
      <c r="M121" s="23"/>
      <c r="N121" s="19" t="str">
        <f t="shared" si="4"/>
        <v>Closed</v>
      </c>
      <c r="O121" s="24">
        <f t="shared" si="5"/>
        <v>424</v>
      </c>
      <c r="P121" s="24" t="str">
        <f t="shared" si="7"/>
        <v>Closed</v>
      </c>
      <c r="Q121" s="17" t="e">
        <v>#N/A</v>
      </c>
    </row>
    <row r="122" spans="1:17" ht="55.2" x14ac:dyDescent="0.3">
      <c r="A122" s="15">
        <f t="shared" si="6"/>
        <v>119</v>
      </c>
      <c r="B122" s="15" t="s">
        <v>19</v>
      </c>
      <c r="C122" s="15">
        <v>2024</v>
      </c>
      <c r="D122" s="15" t="s">
        <v>436</v>
      </c>
      <c r="E122" s="15" t="s">
        <v>436</v>
      </c>
      <c r="F122" s="25" t="s">
        <v>456</v>
      </c>
      <c r="G122" s="26" t="s">
        <v>457</v>
      </c>
      <c r="H122" s="25" t="s">
        <v>458</v>
      </c>
      <c r="I122" s="29" t="s">
        <v>79</v>
      </c>
      <c r="J122" s="20" t="s">
        <v>45</v>
      </c>
      <c r="K122" s="41" t="s">
        <v>455</v>
      </c>
      <c r="L122" s="45">
        <v>45657</v>
      </c>
      <c r="M122" s="23"/>
      <c r="N122" s="19" t="str">
        <f t="shared" si="4"/>
        <v>Closed</v>
      </c>
      <c r="O122" s="24">
        <f t="shared" si="5"/>
        <v>455</v>
      </c>
      <c r="P122" s="24" t="str">
        <f t="shared" si="7"/>
        <v>Closed</v>
      </c>
      <c r="Q122" s="17" t="e">
        <v>#N/A</v>
      </c>
    </row>
    <row r="123" spans="1:17" ht="110.4" x14ac:dyDescent="0.3">
      <c r="A123" s="15">
        <f t="shared" si="6"/>
        <v>120</v>
      </c>
      <c r="B123" s="15" t="s">
        <v>19</v>
      </c>
      <c r="C123" s="15">
        <v>2024</v>
      </c>
      <c r="D123" s="15" t="s">
        <v>436</v>
      </c>
      <c r="E123" s="15" t="s">
        <v>436</v>
      </c>
      <c r="F123" s="25" t="s">
        <v>459</v>
      </c>
      <c r="G123" s="26" t="s">
        <v>460</v>
      </c>
      <c r="H123" s="25" t="s">
        <v>461</v>
      </c>
      <c r="I123" s="29" t="s">
        <v>79</v>
      </c>
      <c r="J123" s="20" t="s">
        <v>55</v>
      </c>
      <c r="K123" s="41" t="s">
        <v>462</v>
      </c>
      <c r="L123" s="45">
        <v>45688</v>
      </c>
      <c r="M123" s="23"/>
      <c r="N123" s="19" t="str">
        <f t="shared" si="4"/>
        <v>Closed</v>
      </c>
      <c r="O123" s="24">
        <f t="shared" si="5"/>
        <v>424</v>
      </c>
      <c r="P123" s="24" t="str">
        <f t="shared" si="7"/>
        <v>Closed</v>
      </c>
      <c r="Q123" s="17" t="e">
        <v>#N/A</v>
      </c>
    </row>
    <row r="124" spans="1:17" ht="276" x14ac:dyDescent="0.3">
      <c r="A124" s="15">
        <f t="shared" si="6"/>
        <v>121</v>
      </c>
      <c r="B124" s="15" t="s">
        <v>19</v>
      </c>
      <c r="C124" s="15">
        <v>2024</v>
      </c>
      <c r="D124" s="15" t="s">
        <v>436</v>
      </c>
      <c r="E124" s="15" t="s">
        <v>436</v>
      </c>
      <c r="F124" s="25" t="s">
        <v>463</v>
      </c>
      <c r="G124" s="26" t="s">
        <v>464</v>
      </c>
      <c r="H124" s="25" t="s">
        <v>465</v>
      </c>
      <c r="I124" s="29" t="s">
        <v>388</v>
      </c>
      <c r="J124" s="20" t="s">
        <v>55</v>
      </c>
      <c r="K124" s="41" t="s">
        <v>455</v>
      </c>
      <c r="L124" s="45">
        <v>45626</v>
      </c>
      <c r="M124" s="23"/>
      <c r="N124" s="19" t="str">
        <f t="shared" si="4"/>
        <v>Closed</v>
      </c>
      <c r="O124" s="24">
        <f t="shared" si="5"/>
        <v>486</v>
      </c>
      <c r="P124" s="24" t="str">
        <f t="shared" si="7"/>
        <v>Closed</v>
      </c>
      <c r="Q124" s="17" t="s">
        <v>466</v>
      </c>
    </row>
    <row r="125" spans="1:17" ht="220.8" x14ac:dyDescent="0.3">
      <c r="A125" s="15">
        <f t="shared" si="6"/>
        <v>122</v>
      </c>
      <c r="B125" s="15" t="s">
        <v>19</v>
      </c>
      <c r="C125" s="15">
        <v>2024</v>
      </c>
      <c r="D125" s="15" t="s">
        <v>81</v>
      </c>
      <c r="E125" s="15" t="s">
        <v>82</v>
      </c>
      <c r="F125" s="25" t="s">
        <v>467</v>
      </c>
      <c r="G125" s="26" t="s">
        <v>468</v>
      </c>
      <c r="H125" s="25" t="s">
        <v>469</v>
      </c>
      <c r="I125" s="29" t="s">
        <v>50</v>
      </c>
      <c r="J125" s="20" t="s">
        <v>26</v>
      </c>
      <c r="K125" s="41" t="s">
        <v>86</v>
      </c>
      <c r="L125" s="45">
        <v>45930</v>
      </c>
      <c r="M125" s="47">
        <v>45930</v>
      </c>
      <c r="N125" s="19" t="str">
        <f t="shared" si="4"/>
        <v>Open Due</v>
      </c>
      <c r="O125" s="24">
        <f t="shared" si="5"/>
        <v>182</v>
      </c>
      <c r="P125" s="24" t="str">
        <f t="shared" si="7"/>
        <v>less than one year</v>
      </c>
      <c r="Q125" s="17" t="s">
        <v>470</v>
      </c>
    </row>
    <row r="126" spans="1:17" ht="193.2" x14ac:dyDescent="0.3">
      <c r="A126" s="15">
        <f t="shared" si="6"/>
        <v>123</v>
      </c>
      <c r="B126" s="15" t="s">
        <v>19</v>
      </c>
      <c r="C126" s="15">
        <v>2024</v>
      </c>
      <c r="D126" s="15" t="s">
        <v>81</v>
      </c>
      <c r="E126" s="15" t="s">
        <v>82</v>
      </c>
      <c r="F126" s="25" t="s">
        <v>471</v>
      </c>
      <c r="G126" s="26" t="s">
        <v>472</v>
      </c>
      <c r="H126" s="25" t="s">
        <v>473</v>
      </c>
      <c r="I126" s="29" t="s">
        <v>50</v>
      </c>
      <c r="J126" s="20" t="s">
        <v>37</v>
      </c>
      <c r="K126" s="41" t="s">
        <v>86</v>
      </c>
      <c r="L126" s="45">
        <v>45930</v>
      </c>
      <c r="M126" s="47"/>
      <c r="N126" s="19" t="str">
        <f t="shared" si="4"/>
        <v>Closed</v>
      </c>
      <c r="O126" s="24">
        <f t="shared" si="5"/>
        <v>182</v>
      </c>
      <c r="P126" s="24" t="str">
        <f t="shared" si="7"/>
        <v>Closed</v>
      </c>
      <c r="Q126" s="17" t="e">
        <v>#N/A</v>
      </c>
    </row>
    <row r="127" spans="1:17" ht="55.2" x14ac:dyDescent="0.3">
      <c r="A127" s="15">
        <f t="shared" si="6"/>
        <v>124</v>
      </c>
      <c r="B127" s="15" t="s">
        <v>19</v>
      </c>
      <c r="C127" s="15">
        <v>2024</v>
      </c>
      <c r="D127" s="15" t="s">
        <v>81</v>
      </c>
      <c r="E127" s="15" t="s">
        <v>82</v>
      </c>
      <c r="F127" s="25" t="s">
        <v>474</v>
      </c>
      <c r="G127" s="26" t="s">
        <v>475</v>
      </c>
      <c r="H127" s="25" t="s">
        <v>476</v>
      </c>
      <c r="I127" s="29" t="s">
        <v>50</v>
      </c>
      <c r="J127" s="20" t="s">
        <v>55</v>
      </c>
      <c r="K127" s="41" t="s">
        <v>86</v>
      </c>
      <c r="L127" s="45">
        <v>45930</v>
      </c>
      <c r="M127" s="47">
        <v>45930</v>
      </c>
      <c r="N127" s="19" t="str">
        <f t="shared" si="4"/>
        <v>Open Due</v>
      </c>
      <c r="O127" s="24">
        <f t="shared" si="5"/>
        <v>182</v>
      </c>
      <c r="P127" s="24" t="str">
        <f t="shared" si="7"/>
        <v>less than one year</v>
      </c>
      <c r="Q127" s="17" t="s">
        <v>477</v>
      </c>
    </row>
    <row r="128" spans="1:17" ht="69" x14ac:dyDescent="0.3">
      <c r="A128" s="15">
        <f t="shared" si="6"/>
        <v>125</v>
      </c>
      <c r="B128" s="15" t="s">
        <v>19</v>
      </c>
      <c r="C128" s="15">
        <v>2024</v>
      </c>
      <c r="D128" s="15" t="s">
        <v>81</v>
      </c>
      <c r="E128" s="15" t="s">
        <v>82</v>
      </c>
      <c r="F128" s="25" t="s">
        <v>478</v>
      </c>
      <c r="G128" s="26" t="s">
        <v>479</v>
      </c>
      <c r="H128" s="25" t="s">
        <v>480</v>
      </c>
      <c r="I128" s="29" t="s">
        <v>50</v>
      </c>
      <c r="J128" s="20" t="s">
        <v>55</v>
      </c>
      <c r="K128" s="41" t="s">
        <v>86</v>
      </c>
      <c r="L128" s="45">
        <v>45688</v>
      </c>
      <c r="M128" s="23"/>
      <c r="N128" s="19" t="str">
        <f t="shared" si="4"/>
        <v>Closed</v>
      </c>
      <c r="O128" s="24">
        <f t="shared" si="5"/>
        <v>424</v>
      </c>
      <c r="P128" s="24" t="str">
        <f t="shared" si="7"/>
        <v>Closed</v>
      </c>
      <c r="Q128" s="17" t="e">
        <v>#N/A</v>
      </c>
    </row>
    <row r="129" spans="1:17" ht="110.4" x14ac:dyDescent="0.3">
      <c r="A129" s="15">
        <f t="shared" si="6"/>
        <v>126</v>
      </c>
      <c r="B129" s="15" t="s">
        <v>19</v>
      </c>
      <c r="C129" s="15">
        <v>2024</v>
      </c>
      <c r="D129" s="15" t="s">
        <v>81</v>
      </c>
      <c r="E129" s="15" t="s">
        <v>82</v>
      </c>
      <c r="F129" s="25" t="s">
        <v>481</v>
      </c>
      <c r="G129" s="26" t="s">
        <v>482</v>
      </c>
      <c r="H129" s="25" t="s">
        <v>483</v>
      </c>
      <c r="I129" s="29" t="s">
        <v>50</v>
      </c>
      <c r="J129" s="20" t="s">
        <v>55</v>
      </c>
      <c r="K129" s="41" t="s">
        <v>86</v>
      </c>
      <c r="L129" s="45">
        <v>46022</v>
      </c>
      <c r="M129" s="47"/>
      <c r="N129" s="19" t="str">
        <f t="shared" si="4"/>
        <v>Closed</v>
      </c>
      <c r="O129" s="24">
        <f t="shared" si="5"/>
        <v>90</v>
      </c>
      <c r="P129" s="24" t="str">
        <f t="shared" si="7"/>
        <v>Closed</v>
      </c>
      <c r="Q129" s="17" t="s">
        <v>484</v>
      </c>
    </row>
    <row r="130" spans="1:17" ht="55.2" x14ac:dyDescent="0.3">
      <c r="A130" s="15">
        <f t="shared" si="6"/>
        <v>127</v>
      </c>
      <c r="B130" s="15" t="s">
        <v>19</v>
      </c>
      <c r="C130" s="15">
        <v>2024</v>
      </c>
      <c r="D130" s="15" t="s">
        <v>81</v>
      </c>
      <c r="E130" s="15" t="s">
        <v>82</v>
      </c>
      <c r="F130" s="25" t="s">
        <v>485</v>
      </c>
      <c r="G130" s="26" t="s">
        <v>486</v>
      </c>
      <c r="H130" s="25" t="s">
        <v>487</v>
      </c>
      <c r="I130" s="29" t="s">
        <v>79</v>
      </c>
      <c r="J130" s="20" t="s">
        <v>55</v>
      </c>
      <c r="K130" s="41" t="s">
        <v>86</v>
      </c>
      <c r="L130" s="45">
        <v>45747</v>
      </c>
      <c r="M130" s="47">
        <v>45747</v>
      </c>
      <c r="N130" s="19" t="str">
        <f t="shared" si="4"/>
        <v>Open Due</v>
      </c>
      <c r="O130" s="24">
        <f t="shared" si="5"/>
        <v>365</v>
      </c>
      <c r="P130" s="24" t="str">
        <f t="shared" si="7"/>
        <v>above one year</v>
      </c>
      <c r="Q130" s="17" t="s">
        <v>488</v>
      </c>
    </row>
    <row r="131" spans="1:17" ht="82.8" x14ac:dyDescent="0.3">
      <c r="A131" s="15">
        <f t="shared" si="6"/>
        <v>128</v>
      </c>
      <c r="B131" s="15" t="s">
        <v>19</v>
      </c>
      <c r="C131" s="15">
        <v>2024</v>
      </c>
      <c r="D131" s="15" t="s">
        <v>81</v>
      </c>
      <c r="E131" s="15" t="s">
        <v>82</v>
      </c>
      <c r="F131" s="25" t="s">
        <v>489</v>
      </c>
      <c r="G131" s="26" t="s">
        <v>490</v>
      </c>
      <c r="H131" s="25" t="s">
        <v>491</v>
      </c>
      <c r="I131" s="29" t="s">
        <v>79</v>
      </c>
      <c r="J131" s="20" t="s">
        <v>74</v>
      </c>
      <c r="K131" s="41" t="s">
        <v>86</v>
      </c>
      <c r="L131" s="45">
        <v>45930</v>
      </c>
      <c r="M131" s="47">
        <v>45930</v>
      </c>
      <c r="N131" s="19" t="str">
        <f t="shared" si="4"/>
        <v>Open Due</v>
      </c>
      <c r="O131" s="24">
        <f t="shared" si="5"/>
        <v>182</v>
      </c>
      <c r="P131" s="24" t="str">
        <f t="shared" si="7"/>
        <v>less than one year</v>
      </c>
      <c r="Q131" s="17" t="s">
        <v>492</v>
      </c>
    </row>
    <row r="132" spans="1:17" ht="55.2" x14ac:dyDescent="0.3">
      <c r="A132" s="15">
        <f t="shared" si="6"/>
        <v>129</v>
      </c>
      <c r="B132" s="15" t="s">
        <v>19</v>
      </c>
      <c r="C132" s="15">
        <v>2024</v>
      </c>
      <c r="D132" s="15" t="s">
        <v>81</v>
      </c>
      <c r="E132" s="15" t="s">
        <v>82</v>
      </c>
      <c r="F132" s="25" t="s">
        <v>493</v>
      </c>
      <c r="G132" s="26" t="s">
        <v>494</v>
      </c>
      <c r="H132" s="25" t="s">
        <v>495</v>
      </c>
      <c r="I132" s="29" t="s">
        <v>79</v>
      </c>
      <c r="J132" s="20" t="s">
        <v>26</v>
      </c>
      <c r="K132" s="41" t="s">
        <v>86</v>
      </c>
      <c r="L132" s="45">
        <v>45716</v>
      </c>
      <c r="M132" s="47"/>
      <c r="N132" s="19" t="str">
        <f t="shared" ref="N132:N178" si="8">IF(M132="", "Closed", IF(--M132 &gt; --$N$2, "Open Not Due", "Open Due"))</f>
        <v>Closed</v>
      </c>
      <c r="O132" s="24">
        <f t="shared" ref="O132:O178" si="9">$N$2-L132</f>
        <v>396</v>
      </c>
      <c r="P132" s="24" t="str">
        <f t="shared" si="7"/>
        <v>Closed</v>
      </c>
      <c r="Q132" s="17" t="e">
        <v>#N/A</v>
      </c>
    </row>
    <row r="133" spans="1:17" ht="82.8" x14ac:dyDescent="0.3">
      <c r="A133" s="15">
        <f t="shared" ref="A133:A174" si="10">ROW(A133)-3</f>
        <v>130</v>
      </c>
      <c r="B133" s="15" t="s">
        <v>19</v>
      </c>
      <c r="C133" s="15">
        <v>2024</v>
      </c>
      <c r="D133" s="15" t="s">
        <v>81</v>
      </c>
      <c r="E133" s="15" t="s">
        <v>82</v>
      </c>
      <c r="F133" s="25" t="s">
        <v>496</v>
      </c>
      <c r="G133" s="26" t="s">
        <v>497</v>
      </c>
      <c r="H133" s="25" t="s">
        <v>498</v>
      </c>
      <c r="I133" s="29" t="s">
        <v>79</v>
      </c>
      <c r="J133" s="20" t="s">
        <v>45</v>
      </c>
      <c r="K133" s="41" t="s">
        <v>86</v>
      </c>
      <c r="L133" s="45">
        <v>45747</v>
      </c>
      <c r="M133" s="47"/>
      <c r="N133" s="19" t="str">
        <f t="shared" si="8"/>
        <v>Closed</v>
      </c>
      <c r="O133" s="24">
        <f t="shared" si="9"/>
        <v>365</v>
      </c>
      <c r="P133" s="24" t="str">
        <f t="shared" ref="P133:P178" si="11">IF(N133="Open Not Due","Open Not Due",
IF(N133="Closed","Closed",
IF(O133&lt;180,"less than 6 months",
IF(O133&lt;365,"less than one year",
"above one year"))))</f>
        <v>Closed</v>
      </c>
      <c r="Q133" s="17" t="e">
        <v>#N/A</v>
      </c>
    </row>
    <row r="134" spans="1:17" ht="179.4" x14ac:dyDescent="0.3">
      <c r="A134" s="15">
        <f t="shared" si="10"/>
        <v>131</v>
      </c>
      <c r="B134" s="15" t="s">
        <v>19</v>
      </c>
      <c r="C134" s="15">
        <v>2024</v>
      </c>
      <c r="D134" s="15" t="s">
        <v>81</v>
      </c>
      <c r="E134" s="15" t="s">
        <v>82</v>
      </c>
      <c r="F134" s="25" t="s">
        <v>499</v>
      </c>
      <c r="G134" s="26" t="s">
        <v>500</v>
      </c>
      <c r="H134" s="25" t="s">
        <v>501</v>
      </c>
      <c r="I134" s="29" t="s">
        <v>79</v>
      </c>
      <c r="J134" s="20" t="s">
        <v>55</v>
      </c>
      <c r="K134" s="41" t="s">
        <v>86</v>
      </c>
      <c r="L134" s="45">
        <v>46022</v>
      </c>
      <c r="M134" s="47"/>
      <c r="N134" s="19" t="str">
        <f t="shared" si="8"/>
        <v>Closed</v>
      </c>
      <c r="O134" s="24">
        <f t="shared" si="9"/>
        <v>90</v>
      </c>
      <c r="P134" s="24" t="str">
        <f t="shared" si="11"/>
        <v>Closed</v>
      </c>
      <c r="Q134" s="17" t="e">
        <v>#N/A</v>
      </c>
    </row>
    <row r="135" spans="1:17" ht="110.4" x14ac:dyDescent="0.3">
      <c r="A135" s="15">
        <f t="shared" si="10"/>
        <v>132</v>
      </c>
      <c r="B135" s="15" t="s">
        <v>19</v>
      </c>
      <c r="C135" s="15">
        <v>2024</v>
      </c>
      <c r="D135" s="15" t="s">
        <v>81</v>
      </c>
      <c r="E135" s="15" t="s">
        <v>82</v>
      </c>
      <c r="F135" s="25" t="s">
        <v>502</v>
      </c>
      <c r="G135" s="26" t="s">
        <v>503</v>
      </c>
      <c r="H135" s="25" t="s">
        <v>504</v>
      </c>
      <c r="I135" s="29" t="s">
        <v>79</v>
      </c>
      <c r="J135" s="20" t="s">
        <v>55</v>
      </c>
      <c r="K135" s="41" t="s">
        <v>86</v>
      </c>
      <c r="L135" s="45">
        <v>45930</v>
      </c>
      <c r="M135" s="47">
        <v>45930</v>
      </c>
      <c r="N135" s="19" t="str">
        <f t="shared" si="8"/>
        <v>Open Due</v>
      </c>
      <c r="O135" s="24">
        <f t="shared" si="9"/>
        <v>182</v>
      </c>
      <c r="P135" s="24" t="str">
        <f t="shared" si="11"/>
        <v>less than one year</v>
      </c>
      <c r="Q135" s="17" t="s">
        <v>505</v>
      </c>
    </row>
    <row r="136" spans="1:17" ht="110.4" x14ac:dyDescent="0.3">
      <c r="A136" s="15">
        <f t="shared" si="10"/>
        <v>133</v>
      </c>
      <c r="B136" s="15" t="s">
        <v>19</v>
      </c>
      <c r="C136" s="15">
        <v>2024</v>
      </c>
      <c r="D136" s="15" t="s">
        <v>81</v>
      </c>
      <c r="E136" s="15" t="s">
        <v>82</v>
      </c>
      <c r="F136" s="25" t="s">
        <v>506</v>
      </c>
      <c r="G136" s="26" t="s">
        <v>507</v>
      </c>
      <c r="H136" s="25" t="s">
        <v>508</v>
      </c>
      <c r="I136" s="29" t="s">
        <v>388</v>
      </c>
      <c r="J136" s="20" t="s">
        <v>55</v>
      </c>
      <c r="K136" s="41" t="s">
        <v>86</v>
      </c>
      <c r="L136" s="45">
        <v>45930</v>
      </c>
      <c r="M136" s="47"/>
      <c r="N136" s="19" t="str">
        <f t="shared" si="8"/>
        <v>Closed</v>
      </c>
      <c r="O136" s="24">
        <f t="shared" si="9"/>
        <v>182</v>
      </c>
      <c r="P136" s="24" t="str">
        <f t="shared" si="11"/>
        <v>Closed</v>
      </c>
      <c r="Q136" s="17" t="s">
        <v>509</v>
      </c>
    </row>
    <row r="137" spans="1:17" ht="207" x14ac:dyDescent="0.3">
      <c r="A137" s="15">
        <f t="shared" si="10"/>
        <v>134</v>
      </c>
      <c r="B137" s="15" t="s">
        <v>19</v>
      </c>
      <c r="C137" s="15">
        <v>2024</v>
      </c>
      <c r="D137" s="15" t="s">
        <v>81</v>
      </c>
      <c r="E137" s="15" t="s">
        <v>82</v>
      </c>
      <c r="F137" s="25" t="s">
        <v>510</v>
      </c>
      <c r="G137" s="26" t="s">
        <v>511</v>
      </c>
      <c r="H137" s="25" t="s">
        <v>512</v>
      </c>
      <c r="I137" s="29" t="s">
        <v>388</v>
      </c>
      <c r="J137" s="20" t="s">
        <v>55</v>
      </c>
      <c r="K137" s="41" t="s">
        <v>86</v>
      </c>
      <c r="L137" s="45">
        <v>45747</v>
      </c>
      <c r="M137" s="47">
        <v>45747</v>
      </c>
      <c r="N137" s="19" t="str">
        <f t="shared" si="8"/>
        <v>Open Due</v>
      </c>
      <c r="O137" s="24">
        <f t="shared" si="9"/>
        <v>365</v>
      </c>
      <c r="P137" s="24" t="str">
        <f t="shared" si="11"/>
        <v>above one year</v>
      </c>
      <c r="Q137" s="17" t="s">
        <v>492</v>
      </c>
    </row>
    <row r="138" spans="1:17" ht="289.8" x14ac:dyDescent="0.3">
      <c r="A138" s="15">
        <f t="shared" si="10"/>
        <v>135</v>
      </c>
      <c r="B138" s="15" t="s">
        <v>19</v>
      </c>
      <c r="C138" s="15">
        <v>2024</v>
      </c>
      <c r="D138" s="15" t="s">
        <v>193</v>
      </c>
      <c r="E138" s="15" t="s">
        <v>193</v>
      </c>
      <c r="F138" s="25" t="s">
        <v>513</v>
      </c>
      <c r="G138" s="26" t="s">
        <v>514</v>
      </c>
      <c r="H138" s="25" t="s">
        <v>515</v>
      </c>
      <c r="I138" s="29" t="s">
        <v>50</v>
      </c>
      <c r="J138" s="20" t="s">
        <v>516</v>
      </c>
      <c r="K138" s="41" t="s">
        <v>517</v>
      </c>
      <c r="L138" s="45">
        <v>46203</v>
      </c>
      <c r="M138" s="47">
        <v>46203</v>
      </c>
      <c r="N138" s="19" t="str">
        <f t="shared" si="8"/>
        <v>Open Not Due</v>
      </c>
      <c r="O138" s="24">
        <f t="shared" si="9"/>
        <v>-91</v>
      </c>
      <c r="P138" s="24" t="str">
        <f t="shared" si="11"/>
        <v>Open Not Due</v>
      </c>
      <c r="Q138" s="17" t="s">
        <v>518</v>
      </c>
    </row>
    <row r="139" spans="1:17" ht="220.8" x14ac:dyDescent="0.3">
      <c r="A139" s="15">
        <f t="shared" si="10"/>
        <v>136</v>
      </c>
      <c r="B139" s="15" t="s">
        <v>19</v>
      </c>
      <c r="C139" s="15">
        <v>2024</v>
      </c>
      <c r="D139" s="15" t="s">
        <v>193</v>
      </c>
      <c r="E139" s="15" t="s">
        <v>193</v>
      </c>
      <c r="F139" s="25" t="s">
        <v>519</v>
      </c>
      <c r="G139" s="26" t="s">
        <v>520</v>
      </c>
      <c r="H139" s="25" t="s">
        <v>521</v>
      </c>
      <c r="I139" s="29" t="s">
        <v>50</v>
      </c>
      <c r="J139" s="20" t="s">
        <v>516</v>
      </c>
      <c r="K139" s="41" t="s">
        <v>517</v>
      </c>
      <c r="L139" s="45">
        <v>46112</v>
      </c>
      <c r="M139" s="47">
        <v>46112</v>
      </c>
      <c r="N139" s="19" t="str">
        <f t="shared" si="8"/>
        <v>Open Due</v>
      </c>
      <c r="O139" s="24">
        <f t="shared" si="9"/>
        <v>0</v>
      </c>
      <c r="P139" s="24" t="str">
        <f t="shared" si="11"/>
        <v>less than 6 months</v>
      </c>
      <c r="Q139" s="17" t="s">
        <v>522</v>
      </c>
    </row>
    <row r="140" spans="1:17" ht="138" x14ac:dyDescent="0.3">
      <c r="A140" s="15">
        <f t="shared" si="10"/>
        <v>137</v>
      </c>
      <c r="B140" s="15" t="s">
        <v>19</v>
      </c>
      <c r="C140" s="15">
        <v>2024</v>
      </c>
      <c r="D140" s="15" t="s">
        <v>193</v>
      </c>
      <c r="E140" s="15" t="s">
        <v>193</v>
      </c>
      <c r="F140" s="25" t="s">
        <v>523</v>
      </c>
      <c r="G140" s="26" t="s">
        <v>524</v>
      </c>
      <c r="H140" s="25" t="s">
        <v>525</v>
      </c>
      <c r="I140" s="29" t="s">
        <v>79</v>
      </c>
      <c r="J140" s="20" t="s">
        <v>516</v>
      </c>
      <c r="K140" s="41" t="s">
        <v>517</v>
      </c>
      <c r="L140" s="45">
        <v>46112</v>
      </c>
      <c r="M140" s="47">
        <v>46112</v>
      </c>
      <c r="N140" s="19" t="str">
        <f t="shared" si="8"/>
        <v>Open Due</v>
      </c>
      <c r="O140" s="24">
        <f t="shared" si="9"/>
        <v>0</v>
      </c>
      <c r="P140" s="24" t="str">
        <f t="shared" si="11"/>
        <v>less than 6 months</v>
      </c>
      <c r="Q140" s="17" t="s">
        <v>526</v>
      </c>
    </row>
    <row r="141" spans="1:17" ht="138" x14ac:dyDescent="0.3">
      <c r="A141" s="15">
        <f t="shared" si="10"/>
        <v>138</v>
      </c>
      <c r="B141" s="15" t="s">
        <v>19</v>
      </c>
      <c r="C141" s="15">
        <v>2024</v>
      </c>
      <c r="D141" s="15" t="s">
        <v>193</v>
      </c>
      <c r="E141" s="15" t="s">
        <v>193</v>
      </c>
      <c r="F141" s="25" t="s">
        <v>527</v>
      </c>
      <c r="G141" s="25" t="s">
        <v>528</v>
      </c>
      <c r="H141" s="25" t="s">
        <v>529</v>
      </c>
      <c r="I141" s="29" t="s">
        <v>79</v>
      </c>
      <c r="J141" s="20" t="s">
        <v>516</v>
      </c>
      <c r="K141" s="41" t="s">
        <v>517</v>
      </c>
      <c r="L141" s="45">
        <v>46203</v>
      </c>
      <c r="M141" s="47">
        <v>46203</v>
      </c>
      <c r="N141" s="19" t="str">
        <f t="shared" si="8"/>
        <v>Open Not Due</v>
      </c>
      <c r="O141" s="24">
        <f t="shared" si="9"/>
        <v>-91</v>
      </c>
      <c r="P141" s="24" t="str">
        <f t="shared" si="11"/>
        <v>Open Not Due</v>
      </c>
      <c r="Q141" s="17" t="s">
        <v>530</v>
      </c>
    </row>
    <row r="142" spans="1:17" ht="124.2" x14ac:dyDescent="0.3">
      <c r="A142" s="15">
        <f t="shared" si="10"/>
        <v>139</v>
      </c>
      <c r="B142" s="15" t="s">
        <v>19</v>
      </c>
      <c r="C142" s="15">
        <v>2024</v>
      </c>
      <c r="D142" s="15" t="s">
        <v>227</v>
      </c>
      <c r="E142" s="15" t="s">
        <v>228</v>
      </c>
      <c r="F142" s="25" t="s">
        <v>531</v>
      </c>
      <c r="G142" s="25" t="s">
        <v>532</v>
      </c>
      <c r="H142" s="25" t="s">
        <v>533</v>
      </c>
      <c r="I142" s="29" t="s">
        <v>50</v>
      </c>
      <c r="J142" s="20" t="s">
        <v>55</v>
      </c>
      <c r="K142" s="41" t="s">
        <v>534</v>
      </c>
      <c r="L142" s="45">
        <v>45930</v>
      </c>
      <c r="M142" s="47">
        <v>45930</v>
      </c>
      <c r="N142" s="19" t="str">
        <f t="shared" si="8"/>
        <v>Open Due</v>
      </c>
      <c r="O142" s="24">
        <f t="shared" si="9"/>
        <v>182</v>
      </c>
      <c r="P142" s="24" t="str">
        <f t="shared" si="11"/>
        <v>less than one year</v>
      </c>
      <c r="Q142" s="17" t="s">
        <v>535</v>
      </c>
    </row>
    <row r="143" spans="1:17" ht="138" x14ac:dyDescent="0.3">
      <c r="A143" s="15">
        <f t="shared" si="10"/>
        <v>140</v>
      </c>
      <c r="B143" s="15" t="s">
        <v>19</v>
      </c>
      <c r="C143" s="15">
        <v>2024</v>
      </c>
      <c r="D143" s="15" t="s">
        <v>227</v>
      </c>
      <c r="E143" s="15" t="s">
        <v>228</v>
      </c>
      <c r="F143" s="25" t="s">
        <v>536</v>
      </c>
      <c r="G143" s="25" t="s">
        <v>537</v>
      </c>
      <c r="H143" s="25" t="s">
        <v>538</v>
      </c>
      <c r="I143" s="29" t="s">
        <v>50</v>
      </c>
      <c r="J143" s="20" t="s">
        <v>55</v>
      </c>
      <c r="K143" s="41" t="s">
        <v>534</v>
      </c>
      <c r="L143" s="45">
        <v>45930</v>
      </c>
      <c r="M143" s="47">
        <v>45930</v>
      </c>
      <c r="N143" s="19" t="str">
        <f t="shared" si="8"/>
        <v>Open Due</v>
      </c>
      <c r="O143" s="24">
        <f t="shared" si="9"/>
        <v>182</v>
      </c>
      <c r="P143" s="24" t="str">
        <f t="shared" si="11"/>
        <v>less than one year</v>
      </c>
      <c r="Q143" s="17" t="s">
        <v>539</v>
      </c>
    </row>
    <row r="144" spans="1:17" ht="69" x14ac:dyDescent="0.3">
      <c r="A144" s="15">
        <f t="shared" si="10"/>
        <v>141</v>
      </c>
      <c r="B144" s="15" t="s">
        <v>19</v>
      </c>
      <c r="C144" s="15">
        <v>2024</v>
      </c>
      <c r="D144" s="15" t="s">
        <v>227</v>
      </c>
      <c r="E144" s="15" t="s">
        <v>228</v>
      </c>
      <c r="F144" s="25" t="s">
        <v>540</v>
      </c>
      <c r="G144" s="25" t="s">
        <v>541</v>
      </c>
      <c r="H144" s="25" t="s">
        <v>542</v>
      </c>
      <c r="I144" s="29" t="s">
        <v>50</v>
      </c>
      <c r="J144" s="20" t="s">
        <v>37</v>
      </c>
      <c r="K144" s="41" t="s">
        <v>534</v>
      </c>
      <c r="L144" s="45">
        <v>45930</v>
      </c>
      <c r="M144" s="47">
        <v>45930</v>
      </c>
      <c r="N144" s="19" t="str">
        <f t="shared" si="8"/>
        <v>Open Due</v>
      </c>
      <c r="O144" s="24">
        <f t="shared" si="9"/>
        <v>182</v>
      </c>
      <c r="P144" s="24" t="str">
        <f t="shared" si="11"/>
        <v>less than one year</v>
      </c>
      <c r="Q144" s="17" t="s">
        <v>377</v>
      </c>
    </row>
    <row r="145" spans="1:17" ht="179.4" x14ac:dyDescent="0.3">
      <c r="A145" s="15">
        <f t="shared" si="10"/>
        <v>142</v>
      </c>
      <c r="B145" s="15" t="s">
        <v>19</v>
      </c>
      <c r="C145" s="15">
        <v>2024</v>
      </c>
      <c r="D145" s="15" t="s">
        <v>227</v>
      </c>
      <c r="E145" s="15" t="s">
        <v>228</v>
      </c>
      <c r="F145" s="25" t="s">
        <v>543</v>
      </c>
      <c r="G145" s="25" t="s">
        <v>544</v>
      </c>
      <c r="H145" s="25" t="s">
        <v>545</v>
      </c>
      <c r="I145" s="29" t="s">
        <v>79</v>
      </c>
      <c r="J145" s="20" t="s">
        <v>55</v>
      </c>
      <c r="K145" s="41" t="s">
        <v>534</v>
      </c>
      <c r="L145" s="45">
        <v>45930</v>
      </c>
      <c r="M145" s="47">
        <v>45930</v>
      </c>
      <c r="N145" s="19" t="str">
        <f t="shared" si="8"/>
        <v>Open Due</v>
      </c>
      <c r="O145" s="24">
        <f t="shared" si="9"/>
        <v>182</v>
      </c>
      <c r="P145" s="24" t="str">
        <f t="shared" si="11"/>
        <v>less than one year</v>
      </c>
      <c r="Q145" s="17" t="s">
        <v>546</v>
      </c>
    </row>
    <row r="146" spans="1:17" ht="124.2" x14ac:dyDescent="0.3">
      <c r="A146" s="15">
        <f t="shared" si="10"/>
        <v>143</v>
      </c>
      <c r="B146" s="15" t="s">
        <v>19</v>
      </c>
      <c r="C146" s="15">
        <v>2024</v>
      </c>
      <c r="D146" s="15" t="s">
        <v>227</v>
      </c>
      <c r="E146" s="15" t="s">
        <v>228</v>
      </c>
      <c r="F146" s="25" t="s">
        <v>547</v>
      </c>
      <c r="G146" s="25" t="s">
        <v>548</v>
      </c>
      <c r="H146" s="25" t="s">
        <v>549</v>
      </c>
      <c r="I146" s="29" t="s">
        <v>79</v>
      </c>
      <c r="J146" s="20" t="s">
        <v>55</v>
      </c>
      <c r="K146" s="41" t="s">
        <v>534</v>
      </c>
      <c r="L146" s="45">
        <v>45930</v>
      </c>
      <c r="M146" s="47"/>
      <c r="N146" s="19" t="str">
        <f t="shared" si="8"/>
        <v>Closed</v>
      </c>
      <c r="O146" s="24">
        <f t="shared" si="9"/>
        <v>182</v>
      </c>
      <c r="P146" s="24" t="str">
        <f t="shared" si="11"/>
        <v>Closed</v>
      </c>
      <c r="Q146" s="17" t="s">
        <v>550</v>
      </c>
    </row>
    <row r="147" spans="1:17" ht="409.6" x14ac:dyDescent="0.3">
      <c r="A147" s="15">
        <f t="shared" si="10"/>
        <v>144</v>
      </c>
      <c r="B147" s="15" t="s">
        <v>19</v>
      </c>
      <c r="C147" s="15">
        <v>2024</v>
      </c>
      <c r="D147" s="15" t="s">
        <v>227</v>
      </c>
      <c r="E147" s="15" t="s">
        <v>228</v>
      </c>
      <c r="F147" s="25" t="s">
        <v>551</v>
      </c>
      <c r="G147" s="25" t="s">
        <v>552</v>
      </c>
      <c r="H147" s="25" t="s">
        <v>553</v>
      </c>
      <c r="I147" s="29" t="s">
        <v>79</v>
      </c>
      <c r="J147" s="20" t="s">
        <v>55</v>
      </c>
      <c r="K147" s="41" t="s">
        <v>534</v>
      </c>
      <c r="L147" s="45">
        <v>46022</v>
      </c>
      <c r="M147" s="47">
        <v>46022</v>
      </c>
      <c r="N147" s="19" t="str">
        <f t="shared" si="8"/>
        <v>Open Due</v>
      </c>
      <c r="O147" s="24">
        <f t="shared" si="9"/>
        <v>90</v>
      </c>
      <c r="P147" s="24" t="str">
        <f t="shared" si="11"/>
        <v>less than 6 months</v>
      </c>
      <c r="Q147" s="17" t="s">
        <v>554</v>
      </c>
    </row>
    <row r="148" spans="1:17" ht="82.8" x14ac:dyDescent="0.3">
      <c r="A148" s="15">
        <f t="shared" si="10"/>
        <v>145</v>
      </c>
      <c r="B148" s="15" t="s">
        <v>19</v>
      </c>
      <c r="C148" s="15">
        <v>2024</v>
      </c>
      <c r="D148" s="15" t="s">
        <v>227</v>
      </c>
      <c r="E148" s="15" t="s">
        <v>228</v>
      </c>
      <c r="F148" s="25" t="s">
        <v>555</v>
      </c>
      <c r="G148" s="25" t="s">
        <v>556</v>
      </c>
      <c r="H148" s="25" t="s">
        <v>557</v>
      </c>
      <c r="I148" s="29" t="s">
        <v>388</v>
      </c>
      <c r="J148" s="20" t="s">
        <v>55</v>
      </c>
      <c r="K148" s="41" t="s">
        <v>534</v>
      </c>
      <c r="L148" s="45">
        <v>46022</v>
      </c>
      <c r="M148" s="47">
        <v>46022</v>
      </c>
      <c r="N148" s="19" t="str">
        <f t="shared" si="8"/>
        <v>Open Due</v>
      </c>
      <c r="O148" s="24">
        <f t="shared" si="9"/>
        <v>90</v>
      </c>
      <c r="P148" s="24" t="str">
        <f t="shared" si="11"/>
        <v>less than 6 months</v>
      </c>
      <c r="Q148" s="17" t="s">
        <v>558</v>
      </c>
    </row>
    <row r="149" spans="1:17" ht="110.4" x14ac:dyDescent="0.3">
      <c r="A149" s="15">
        <f t="shared" si="10"/>
        <v>146</v>
      </c>
      <c r="B149" s="15" t="s">
        <v>19</v>
      </c>
      <c r="C149" s="15">
        <v>2024</v>
      </c>
      <c r="D149" s="15" t="s">
        <v>227</v>
      </c>
      <c r="E149" s="15" t="s">
        <v>228</v>
      </c>
      <c r="F149" s="25" t="s">
        <v>559</v>
      </c>
      <c r="G149" s="25" t="s">
        <v>560</v>
      </c>
      <c r="H149" s="25" t="s">
        <v>561</v>
      </c>
      <c r="I149" s="29" t="s">
        <v>388</v>
      </c>
      <c r="J149" s="20" t="s">
        <v>55</v>
      </c>
      <c r="K149" s="41" t="s">
        <v>534</v>
      </c>
      <c r="L149" s="45">
        <v>46203</v>
      </c>
      <c r="M149" s="47">
        <v>46203</v>
      </c>
      <c r="N149" s="19" t="str">
        <f t="shared" si="8"/>
        <v>Open Not Due</v>
      </c>
      <c r="O149" s="24">
        <f t="shared" si="9"/>
        <v>-91</v>
      </c>
      <c r="P149" s="24" t="str">
        <f t="shared" si="11"/>
        <v>Open Not Due</v>
      </c>
      <c r="Q149" s="17" t="s">
        <v>562</v>
      </c>
    </row>
    <row r="150" spans="1:17" ht="138" x14ac:dyDescent="0.3">
      <c r="A150" s="15">
        <f t="shared" si="10"/>
        <v>147</v>
      </c>
      <c r="B150" s="15" t="s">
        <v>19</v>
      </c>
      <c r="C150" s="15">
        <v>2024</v>
      </c>
      <c r="D150" s="15" t="s">
        <v>227</v>
      </c>
      <c r="E150" s="15" t="s">
        <v>228</v>
      </c>
      <c r="F150" s="25" t="s">
        <v>563</v>
      </c>
      <c r="G150" s="25" t="s">
        <v>564</v>
      </c>
      <c r="H150" s="25" t="s">
        <v>565</v>
      </c>
      <c r="I150" s="29" t="s">
        <v>388</v>
      </c>
      <c r="J150" s="20" t="s">
        <v>26</v>
      </c>
      <c r="K150" s="41" t="s">
        <v>534</v>
      </c>
      <c r="L150" s="45">
        <v>46022</v>
      </c>
      <c r="M150" s="47">
        <v>46022</v>
      </c>
      <c r="N150" s="19" t="str">
        <f t="shared" si="8"/>
        <v>Open Due</v>
      </c>
      <c r="O150" s="24">
        <f t="shared" si="9"/>
        <v>90</v>
      </c>
      <c r="P150" s="24" t="str">
        <f t="shared" si="11"/>
        <v>less than 6 months</v>
      </c>
      <c r="Q150" s="17" t="s">
        <v>566</v>
      </c>
    </row>
    <row r="151" spans="1:17" ht="138" x14ac:dyDescent="0.3">
      <c r="A151" s="15">
        <f>ROW(A151)-3</f>
        <v>148</v>
      </c>
      <c r="B151" s="15" t="s">
        <v>19</v>
      </c>
      <c r="C151" s="15">
        <v>2025</v>
      </c>
      <c r="D151" s="15" t="s">
        <v>158</v>
      </c>
      <c r="E151" s="15" t="s">
        <v>158</v>
      </c>
      <c r="F151" s="25" t="s">
        <v>567</v>
      </c>
      <c r="G151" s="25" t="s">
        <v>568</v>
      </c>
      <c r="H151" s="25" t="s">
        <v>569</v>
      </c>
      <c r="I151" s="29" t="s">
        <v>50</v>
      </c>
      <c r="J151" s="20" t="s">
        <v>37</v>
      </c>
      <c r="K151" s="41" t="s">
        <v>162</v>
      </c>
      <c r="L151" s="45">
        <v>45747</v>
      </c>
      <c r="M151" s="47">
        <v>46112</v>
      </c>
      <c r="N151" s="19" t="str">
        <f t="shared" si="8"/>
        <v>Open Due</v>
      </c>
      <c r="O151" s="24">
        <f t="shared" si="9"/>
        <v>365</v>
      </c>
      <c r="P151" s="24" t="str">
        <f t="shared" si="11"/>
        <v>above one year</v>
      </c>
      <c r="Q151" s="17" t="s">
        <v>570</v>
      </c>
    </row>
    <row r="152" spans="1:17" ht="96.6" x14ac:dyDescent="0.3">
      <c r="A152" s="15">
        <f t="shared" si="10"/>
        <v>149</v>
      </c>
      <c r="B152" s="15" t="s">
        <v>19</v>
      </c>
      <c r="C152" s="15">
        <v>2025</v>
      </c>
      <c r="D152" s="15" t="s">
        <v>158</v>
      </c>
      <c r="E152" s="15" t="s">
        <v>158</v>
      </c>
      <c r="F152" s="25" t="s">
        <v>571</v>
      </c>
      <c r="G152" s="25" t="s">
        <v>572</v>
      </c>
      <c r="H152" s="25" t="s">
        <v>573</v>
      </c>
      <c r="I152" s="29" t="s">
        <v>50</v>
      </c>
      <c r="J152" s="20" t="s">
        <v>55</v>
      </c>
      <c r="K152" s="41" t="s">
        <v>162</v>
      </c>
      <c r="L152" s="45">
        <v>46022</v>
      </c>
      <c r="M152" s="47"/>
      <c r="N152" s="19" t="str">
        <f t="shared" si="8"/>
        <v>Closed</v>
      </c>
      <c r="O152" s="24">
        <f t="shared" si="9"/>
        <v>90</v>
      </c>
      <c r="P152" s="24" t="str">
        <f t="shared" si="11"/>
        <v>Closed</v>
      </c>
      <c r="Q152" s="17" t="e">
        <v>#N/A</v>
      </c>
    </row>
    <row r="153" spans="1:17" ht="82.8" x14ac:dyDescent="0.3">
      <c r="A153" s="15">
        <f t="shared" si="10"/>
        <v>150</v>
      </c>
      <c r="B153" s="15" t="s">
        <v>19</v>
      </c>
      <c r="C153" s="15">
        <v>2025</v>
      </c>
      <c r="D153" s="15" t="s">
        <v>158</v>
      </c>
      <c r="E153" s="15" t="s">
        <v>158</v>
      </c>
      <c r="F153" s="25" t="s">
        <v>574</v>
      </c>
      <c r="G153" s="25" t="s">
        <v>575</v>
      </c>
      <c r="H153" s="48" t="s">
        <v>576</v>
      </c>
      <c r="I153" s="29" t="s">
        <v>79</v>
      </c>
      <c r="J153" s="20" t="s">
        <v>55</v>
      </c>
      <c r="K153" s="41" t="s">
        <v>577</v>
      </c>
      <c r="L153" s="45">
        <v>45930</v>
      </c>
      <c r="M153" s="47">
        <v>45930</v>
      </c>
      <c r="N153" s="19" t="str">
        <f t="shared" si="8"/>
        <v>Open Due</v>
      </c>
      <c r="O153" s="24">
        <f t="shared" si="9"/>
        <v>182</v>
      </c>
      <c r="P153" s="24" t="str">
        <f t="shared" si="11"/>
        <v>less than one year</v>
      </c>
      <c r="Q153" s="17" t="s">
        <v>578</v>
      </c>
    </row>
    <row r="154" spans="1:17" ht="55.2" x14ac:dyDescent="0.3">
      <c r="A154" s="49">
        <f t="shared" si="10"/>
        <v>151</v>
      </c>
      <c r="B154" s="15" t="s">
        <v>19</v>
      </c>
      <c r="C154" s="15">
        <v>2025</v>
      </c>
      <c r="D154" s="49" t="s">
        <v>158</v>
      </c>
      <c r="E154" s="49" t="s">
        <v>158</v>
      </c>
      <c r="F154" s="50" t="s">
        <v>579</v>
      </c>
      <c r="G154" s="50" t="s">
        <v>580</v>
      </c>
      <c r="H154" s="50" t="s">
        <v>581</v>
      </c>
      <c r="I154" s="51" t="s">
        <v>388</v>
      </c>
      <c r="J154" s="52" t="s">
        <v>55</v>
      </c>
      <c r="K154" s="53" t="s">
        <v>162</v>
      </c>
      <c r="L154" s="54">
        <v>46112</v>
      </c>
      <c r="M154" s="55"/>
      <c r="N154" s="19" t="str">
        <f t="shared" si="8"/>
        <v>Closed</v>
      </c>
      <c r="O154" s="24">
        <f t="shared" si="9"/>
        <v>0</v>
      </c>
      <c r="P154" s="24" t="str">
        <f t="shared" si="11"/>
        <v>Closed</v>
      </c>
      <c r="Q154" s="17" t="e">
        <v>#N/A</v>
      </c>
    </row>
    <row r="155" spans="1:17" ht="179.4" x14ac:dyDescent="0.3">
      <c r="A155" s="49">
        <f t="shared" si="10"/>
        <v>152</v>
      </c>
      <c r="B155" s="15" t="s">
        <v>19</v>
      </c>
      <c r="C155" s="15">
        <v>2025</v>
      </c>
      <c r="D155" s="49" t="s">
        <v>277</v>
      </c>
      <c r="E155" s="49" t="s">
        <v>277</v>
      </c>
      <c r="F155" s="50" t="s">
        <v>582</v>
      </c>
      <c r="G155" s="50" t="s">
        <v>583</v>
      </c>
      <c r="H155" s="50" t="s">
        <v>584</v>
      </c>
      <c r="I155" s="51" t="s">
        <v>50</v>
      </c>
      <c r="J155" s="52" t="s">
        <v>74</v>
      </c>
      <c r="K155" s="56" t="s">
        <v>585</v>
      </c>
      <c r="L155" s="54">
        <v>46203</v>
      </c>
      <c r="M155" s="55">
        <v>46203</v>
      </c>
      <c r="N155" s="19" t="str">
        <f t="shared" si="8"/>
        <v>Open Not Due</v>
      </c>
      <c r="O155" s="24">
        <f t="shared" si="9"/>
        <v>-91</v>
      </c>
      <c r="P155" s="24" t="str">
        <f t="shared" si="11"/>
        <v>Open Not Due</v>
      </c>
      <c r="Q155" s="17" t="s">
        <v>586</v>
      </c>
    </row>
    <row r="156" spans="1:17" ht="276" x14ac:dyDescent="0.3">
      <c r="A156" s="15">
        <f t="shared" si="10"/>
        <v>153</v>
      </c>
      <c r="B156" s="15" t="s">
        <v>19</v>
      </c>
      <c r="C156" s="15">
        <v>2025</v>
      </c>
      <c r="D156" s="15" t="s">
        <v>277</v>
      </c>
      <c r="E156" s="15" t="s">
        <v>277</v>
      </c>
      <c r="F156" s="50" t="s">
        <v>587</v>
      </c>
      <c r="G156" s="25" t="s">
        <v>588</v>
      </c>
      <c r="H156" s="25" t="s">
        <v>589</v>
      </c>
      <c r="I156" s="29" t="s">
        <v>79</v>
      </c>
      <c r="J156" s="20" t="s">
        <v>55</v>
      </c>
      <c r="K156" s="56" t="s">
        <v>585</v>
      </c>
      <c r="L156" s="45">
        <v>46112</v>
      </c>
      <c r="M156" s="47">
        <v>46112</v>
      </c>
      <c r="N156" s="19" t="str">
        <f t="shared" si="8"/>
        <v>Open Due</v>
      </c>
      <c r="O156" s="24">
        <f t="shared" si="9"/>
        <v>0</v>
      </c>
      <c r="P156" s="24" t="str">
        <f t="shared" si="11"/>
        <v>less than 6 months</v>
      </c>
      <c r="Q156" s="17" t="s">
        <v>590</v>
      </c>
    </row>
    <row r="157" spans="1:17" ht="96.6" x14ac:dyDescent="0.3">
      <c r="A157" s="15">
        <f t="shared" si="10"/>
        <v>154</v>
      </c>
      <c r="B157" s="15" t="s">
        <v>19</v>
      </c>
      <c r="C157" s="15">
        <v>2025</v>
      </c>
      <c r="D157" s="15" t="s">
        <v>277</v>
      </c>
      <c r="E157" s="15" t="s">
        <v>277</v>
      </c>
      <c r="F157" s="25" t="s">
        <v>591</v>
      </c>
      <c r="G157" s="25" t="s">
        <v>592</v>
      </c>
      <c r="H157" s="25" t="s">
        <v>593</v>
      </c>
      <c r="I157" s="29" t="s">
        <v>79</v>
      </c>
      <c r="J157" s="20" t="s">
        <v>26</v>
      </c>
      <c r="K157" s="56" t="s">
        <v>585</v>
      </c>
      <c r="L157" s="54">
        <v>46203</v>
      </c>
      <c r="M157" s="55">
        <v>46203</v>
      </c>
      <c r="N157" s="19" t="str">
        <f t="shared" si="8"/>
        <v>Open Not Due</v>
      </c>
      <c r="O157" s="24">
        <f t="shared" si="9"/>
        <v>-91</v>
      </c>
      <c r="P157" s="24" t="str">
        <f t="shared" si="11"/>
        <v>Open Not Due</v>
      </c>
      <c r="Q157" s="17" t="s">
        <v>594</v>
      </c>
    </row>
    <row r="158" spans="1:17" ht="331.2" x14ac:dyDescent="0.3">
      <c r="A158" s="15">
        <f t="shared" si="10"/>
        <v>155</v>
      </c>
      <c r="B158" s="15" t="s">
        <v>19</v>
      </c>
      <c r="C158" s="15">
        <v>2025</v>
      </c>
      <c r="D158" s="15" t="s">
        <v>294</v>
      </c>
      <c r="E158" s="15" t="s">
        <v>295</v>
      </c>
      <c r="F158" s="57" t="s">
        <v>595</v>
      </c>
      <c r="G158" s="25" t="s">
        <v>596</v>
      </c>
      <c r="H158" s="25" t="s">
        <v>597</v>
      </c>
      <c r="I158" s="29" t="s">
        <v>50</v>
      </c>
      <c r="J158" s="20" t="s">
        <v>316</v>
      </c>
      <c r="K158" s="58" t="s">
        <v>598</v>
      </c>
      <c r="L158" s="54">
        <v>46203</v>
      </c>
      <c r="M158" s="55">
        <v>46203</v>
      </c>
      <c r="N158" s="19" t="str">
        <f t="shared" si="8"/>
        <v>Open Not Due</v>
      </c>
      <c r="O158" s="24">
        <f t="shared" si="9"/>
        <v>-91</v>
      </c>
      <c r="P158" s="24" t="str">
        <f t="shared" si="11"/>
        <v>Open Not Due</v>
      </c>
      <c r="Q158" s="17" t="s">
        <v>599</v>
      </c>
    </row>
    <row r="159" spans="1:17" ht="151.80000000000001" x14ac:dyDescent="0.3">
      <c r="A159" s="15">
        <f t="shared" si="10"/>
        <v>156</v>
      </c>
      <c r="B159" s="15" t="s">
        <v>19</v>
      </c>
      <c r="C159" s="15">
        <v>2025</v>
      </c>
      <c r="D159" s="15" t="s">
        <v>294</v>
      </c>
      <c r="E159" s="15" t="s">
        <v>295</v>
      </c>
      <c r="F159" s="25" t="s">
        <v>600</v>
      </c>
      <c r="G159" s="25" t="s">
        <v>601</v>
      </c>
      <c r="H159" s="25" t="s">
        <v>602</v>
      </c>
      <c r="I159" s="29" t="s">
        <v>50</v>
      </c>
      <c r="J159" s="20" t="s">
        <v>316</v>
      </c>
      <c r="K159" s="58" t="s">
        <v>598</v>
      </c>
      <c r="L159" s="54">
        <v>46203</v>
      </c>
      <c r="M159" s="55">
        <v>46203</v>
      </c>
      <c r="N159" s="19" t="str">
        <f t="shared" si="8"/>
        <v>Open Not Due</v>
      </c>
      <c r="O159" s="24">
        <f t="shared" si="9"/>
        <v>-91</v>
      </c>
      <c r="P159" s="24" t="str">
        <f t="shared" si="11"/>
        <v>Open Not Due</v>
      </c>
      <c r="Q159" s="17" t="s">
        <v>603</v>
      </c>
    </row>
    <row r="160" spans="1:17" ht="386.4" x14ac:dyDescent="0.3">
      <c r="A160" s="15">
        <f t="shared" si="10"/>
        <v>157</v>
      </c>
      <c r="B160" s="15" t="s">
        <v>19</v>
      </c>
      <c r="C160" s="15">
        <v>2025</v>
      </c>
      <c r="D160" s="15" t="s">
        <v>294</v>
      </c>
      <c r="E160" s="15" t="s">
        <v>295</v>
      </c>
      <c r="F160" s="57" t="s">
        <v>604</v>
      </c>
      <c r="G160" s="25" t="s">
        <v>605</v>
      </c>
      <c r="H160" s="25" t="s">
        <v>606</v>
      </c>
      <c r="I160" s="29" t="s">
        <v>50</v>
      </c>
      <c r="J160" s="20" t="s">
        <v>316</v>
      </c>
      <c r="K160" s="58" t="s">
        <v>607</v>
      </c>
      <c r="L160" s="54">
        <v>46203</v>
      </c>
      <c r="M160" s="55">
        <v>46203</v>
      </c>
      <c r="N160" s="19" t="str">
        <f t="shared" si="8"/>
        <v>Open Not Due</v>
      </c>
      <c r="O160" s="24">
        <f t="shared" si="9"/>
        <v>-91</v>
      </c>
      <c r="P160" s="24" t="str">
        <f t="shared" si="11"/>
        <v>Open Not Due</v>
      </c>
      <c r="Q160" s="17" t="s">
        <v>608</v>
      </c>
    </row>
    <row r="161" spans="1:17" ht="289.8" x14ac:dyDescent="0.3">
      <c r="A161" s="15">
        <f t="shared" si="10"/>
        <v>158</v>
      </c>
      <c r="B161" s="15" t="s">
        <v>19</v>
      </c>
      <c r="C161" s="15">
        <v>2025</v>
      </c>
      <c r="D161" s="15" t="s">
        <v>294</v>
      </c>
      <c r="E161" s="15" t="s">
        <v>295</v>
      </c>
      <c r="F161" s="57" t="s">
        <v>609</v>
      </c>
      <c r="G161" s="25" t="s">
        <v>610</v>
      </c>
      <c r="H161" s="25" t="s">
        <v>611</v>
      </c>
      <c r="I161" s="29" t="s">
        <v>50</v>
      </c>
      <c r="J161" s="20" t="s">
        <v>316</v>
      </c>
      <c r="K161" s="58" t="s">
        <v>607</v>
      </c>
      <c r="L161" s="54">
        <v>46203</v>
      </c>
      <c r="M161" s="55">
        <v>46203</v>
      </c>
      <c r="N161" s="19" t="str">
        <f t="shared" si="8"/>
        <v>Open Not Due</v>
      </c>
      <c r="O161" s="24">
        <f t="shared" si="9"/>
        <v>-91</v>
      </c>
      <c r="P161" s="24" t="str">
        <f t="shared" si="11"/>
        <v>Open Not Due</v>
      </c>
      <c r="Q161" s="17" t="s">
        <v>612</v>
      </c>
    </row>
    <row r="162" spans="1:17" ht="220.8" x14ac:dyDescent="0.3">
      <c r="A162" s="15">
        <f t="shared" si="10"/>
        <v>159</v>
      </c>
      <c r="B162" s="15" t="s">
        <v>19</v>
      </c>
      <c r="C162" s="15">
        <v>2025</v>
      </c>
      <c r="D162" s="15" t="s">
        <v>294</v>
      </c>
      <c r="E162" s="15" t="s">
        <v>295</v>
      </c>
      <c r="F162" s="57" t="s">
        <v>613</v>
      </c>
      <c r="G162" s="25" t="s">
        <v>614</v>
      </c>
      <c r="H162" s="25" t="s">
        <v>615</v>
      </c>
      <c r="I162" s="29" t="s">
        <v>50</v>
      </c>
      <c r="J162" s="20" t="s">
        <v>316</v>
      </c>
      <c r="K162" s="58" t="s">
        <v>607</v>
      </c>
      <c r="L162" s="54">
        <v>46203</v>
      </c>
      <c r="M162" s="55">
        <v>46203</v>
      </c>
      <c r="N162" s="19" t="str">
        <f t="shared" si="8"/>
        <v>Open Not Due</v>
      </c>
      <c r="O162" s="24">
        <f t="shared" si="9"/>
        <v>-91</v>
      </c>
      <c r="P162" s="24" t="str">
        <f t="shared" si="11"/>
        <v>Open Not Due</v>
      </c>
      <c r="Q162" s="17" t="s">
        <v>616</v>
      </c>
    </row>
    <row r="163" spans="1:17" ht="165.6" x14ac:dyDescent="0.3">
      <c r="A163" s="15">
        <f t="shared" si="10"/>
        <v>160</v>
      </c>
      <c r="B163" s="15" t="s">
        <v>19</v>
      </c>
      <c r="C163" s="15">
        <v>2025</v>
      </c>
      <c r="D163" s="15" t="s">
        <v>294</v>
      </c>
      <c r="E163" s="15" t="s">
        <v>295</v>
      </c>
      <c r="F163" s="57" t="s">
        <v>617</v>
      </c>
      <c r="G163" s="25" t="s">
        <v>618</v>
      </c>
      <c r="H163" s="25" t="s">
        <v>619</v>
      </c>
      <c r="I163" s="29" t="s">
        <v>50</v>
      </c>
      <c r="J163" s="20" t="s">
        <v>316</v>
      </c>
      <c r="K163" s="41" t="s">
        <v>620</v>
      </c>
      <c r="L163" s="45">
        <v>46112</v>
      </c>
      <c r="M163" s="47">
        <v>46112</v>
      </c>
      <c r="N163" s="19" t="str">
        <f t="shared" si="8"/>
        <v>Open Due</v>
      </c>
      <c r="O163" s="24">
        <f t="shared" si="9"/>
        <v>0</v>
      </c>
      <c r="P163" s="24" t="str">
        <f t="shared" si="11"/>
        <v>less than 6 months</v>
      </c>
      <c r="Q163" s="17" t="s">
        <v>621</v>
      </c>
    </row>
    <row r="164" spans="1:17" ht="372.6" x14ac:dyDescent="0.3">
      <c r="A164" s="15">
        <f t="shared" si="10"/>
        <v>161</v>
      </c>
      <c r="B164" s="15" t="s">
        <v>19</v>
      </c>
      <c r="C164" s="15">
        <v>2025</v>
      </c>
      <c r="D164" s="15" t="s">
        <v>294</v>
      </c>
      <c r="E164" s="15" t="s">
        <v>295</v>
      </c>
      <c r="F164" s="57" t="s">
        <v>622</v>
      </c>
      <c r="G164" s="25" t="s">
        <v>623</v>
      </c>
      <c r="H164" s="25" t="s">
        <v>624</v>
      </c>
      <c r="I164" s="29" t="s">
        <v>50</v>
      </c>
      <c r="J164" s="20" t="s">
        <v>316</v>
      </c>
      <c r="K164" s="59" t="s">
        <v>625</v>
      </c>
      <c r="L164" s="60">
        <v>46203</v>
      </c>
      <c r="M164" s="59">
        <v>46203</v>
      </c>
      <c r="N164" s="19" t="str">
        <f t="shared" si="8"/>
        <v>Open Not Due</v>
      </c>
      <c r="O164" s="24">
        <f t="shared" si="9"/>
        <v>-91</v>
      </c>
      <c r="P164" s="24" t="str">
        <f t="shared" si="11"/>
        <v>Open Not Due</v>
      </c>
      <c r="Q164" s="17" t="s">
        <v>626</v>
      </c>
    </row>
    <row r="165" spans="1:17" ht="207" x14ac:dyDescent="0.3">
      <c r="A165" s="15">
        <f t="shared" si="10"/>
        <v>162</v>
      </c>
      <c r="B165" s="15" t="s">
        <v>19</v>
      </c>
      <c r="C165" s="15">
        <v>2025</v>
      </c>
      <c r="D165" s="15" t="s">
        <v>294</v>
      </c>
      <c r="E165" s="15" t="s">
        <v>295</v>
      </c>
      <c r="F165" s="57" t="s">
        <v>627</v>
      </c>
      <c r="G165" s="25" t="s">
        <v>628</v>
      </c>
      <c r="H165" s="25" t="s">
        <v>629</v>
      </c>
      <c r="I165" s="29" t="s">
        <v>50</v>
      </c>
      <c r="J165" s="20" t="s">
        <v>316</v>
      </c>
      <c r="K165" s="41" t="s">
        <v>630</v>
      </c>
      <c r="L165" s="45">
        <v>46112</v>
      </c>
      <c r="M165" s="47">
        <v>46112</v>
      </c>
      <c r="N165" s="19" t="str">
        <f t="shared" si="8"/>
        <v>Open Due</v>
      </c>
      <c r="O165" s="24">
        <f t="shared" si="9"/>
        <v>0</v>
      </c>
      <c r="P165" s="24" t="str">
        <f t="shared" si="11"/>
        <v>less than 6 months</v>
      </c>
      <c r="Q165" s="17" t="s">
        <v>631</v>
      </c>
    </row>
    <row r="166" spans="1:17" ht="179.4" x14ac:dyDescent="0.3">
      <c r="A166" s="15">
        <f t="shared" si="10"/>
        <v>163</v>
      </c>
      <c r="B166" s="15" t="s">
        <v>19</v>
      </c>
      <c r="C166" s="15">
        <v>2025</v>
      </c>
      <c r="D166" s="15" t="s">
        <v>294</v>
      </c>
      <c r="E166" s="15" t="s">
        <v>295</v>
      </c>
      <c r="F166" s="57" t="s">
        <v>632</v>
      </c>
      <c r="G166" s="25" t="s">
        <v>633</v>
      </c>
      <c r="H166" s="25" t="s">
        <v>634</v>
      </c>
      <c r="I166" s="29" t="s">
        <v>79</v>
      </c>
      <c r="J166" s="20" t="s">
        <v>316</v>
      </c>
      <c r="K166" s="41" t="s">
        <v>635</v>
      </c>
      <c r="L166" s="45">
        <v>46203</v>
      </c>
      <c r="M166" s="47">
        <v>46203</v>
      </c>
      <c r="N166" s="19" t="str">
        <f t="shared" si="8"/>
        <v>Open Not Due</v>
      </c>
      <c r="O166" s="24">
        <f t="shared" si="9"/>
        <v>-91</v>
      </c>
      <c r="P166" s="24" t="str">
        <f t="shared" si="11"/>
        <v>Open Not Due</v>
      </c>
      <c r="Q166" s="17" t="s">
        <v>636</v>
      </c>
    </row>
    <row r="167" spans="1:17" ht="179.4" x14ac:dyDescent="0.3">
      <c r="A167" s="15">
        <f t="shared" si="10"/>
        <v>164</v>
      </c>
      <c r="B167" s="15" t="s">
        <v>19</v>
      </c>
      <c r="C167" s="15">
        <v>2025</v>
      </c>
      <c r="D167" s="15" t="s">
        <v>294</v>
      </c>
      <c r="E167" s="15" t="s">
        <v>295</v>
      </c>
      <c r="F167" s="57" t="s">
        <v>637</v>
      </c>
      <c r="G167" s="25" t="s">
        <v>638</v>
      </c>
      <c r="H167" s="25" t="s">
        <v>639</v>
      </c>
      <c r="I167" s="29" t="s">
        <v>79</v>
      </c>
      <c r="J167" s="20" t="s">
        <v>316</v>
      </c>
      <c r="K167" s="41" t="s">
        <v>640</v>
      </c>
      <c r="L167" s="45">
        <v>46112</v>
      </c>
      <c r="M167" s="47">
        <v>46112</v>
      </c>
      <c r="N167" s="19" t="str">
        <f t="shared" si="8"/>
        <v>Open Due</v>
      </c>
      <c r="O167" s="24">
        <f t="shared" si="9"/>
        <v>0</v>
      </c>
      <c r="P167" s="24" t="str">
        <f t="shared" si="11"/>
        <v>less than 6 months</v>
      </c>
      <c r="Q167" s="17" t="s">
        <v>641</v>
      </c>
    </row>
    <row r="168" spans="1:17" ht="207" x14ac:dyDescent="0.3">
      <c r="A168" s="15">
        <f t="shared" si="10"/>
        <v>165</v>
      </c>
      <c r="B168" s="15" t="s">
        <v>19</v>
      </c>
      <c r="C168" s="15">
        <v>2025</v>
      </c>
      <c r="D168" s="15" t="s">
        <v>294</v>
      </c>
      <c r="E168" s="15" t="s">
        <v>295</v>
      </c>
      <c r="F168" s="57" t="s">
        <v>642</v>
      </c>
      <c r="G168" s="25" t="s">
        <v>643</v>
      </c>
      <c r="H168" s="25" t="s">
        <v>644</v>
      </c>
      <c r="I168" s="29" t="s">
        <v>79</v>
      </c>
      <c r="J168" s="20" t="s">
        <v>316</v>
      </c>
      <c r="K168" s="41" t="s">
        <v>645</v>
      </c>
      <c r="L168" s="45">
        <v>46203</v>
      </c>
      <c r="M168" s="47">
        <v>46203</v>
      </c>
      <c r="N168" s="19" t="str">
        <f t="shared" si="8"/>
        <v>Open Not Due</v>
      </c>
      <c r="O168" s="24">
        <f t="shared" si="9"/>
        <v>-91</v>
      </c>
      <c r="P168" s="24" t="str">
        <f t="shared" si="11"/>
        <v>Open Not Due</v>
      </c>
      <c r="Q168" s="17" t="s">
        <v>641</v>
      </c>
    </row>
    <row r="169" spans="1:17" ht="138" x14ac:dyDescent="0.3">
      <c r="A169" s="15">
        <f t="shared" si="10"/>
        <v>166</v>
      </c>
      <c r="B169" s="15" t="s">
        <v>19</v>
      </c>
      <c r="C169" s="15">
        <v>2025</v>
      </c>
      <c r="D169" s="15" t="s">
        <v>294</v>
      </c>
      <c r="E169" s="15" t="s">
        <v>295</v>
      </c>
      <c r="F169" s="57" t="s">
        <v>646</v>
      </c>
      <c r="G169" s="25" t="s">
        <v>647</v>
      </c>
      <c r="H169" s="25" t="s">
        <v>648</v>
      </c>
      <c r="I169" s="29" t="s">
        <v>79</v>
      </c>
      <c r="J169" s="20" t="s">
        <v>316</v>
      </c>
      <c r="K169" s="41" t="s">
        <v>645</v>
      </c>
      <c r="L169" s="45">
        <v>46387</v>
      </c>
      <c r="M169" s="47">
        <v>46387</v>
      </c>
      <c r="N169" s="19" t="str">
        <f t="shared" si="8"/>
        <v>Open Not Due</v>
      </c>
      <c r="O169" s="24">
        <f t="shared" si="9"/>
        <v>-275</v>
      </c>
      <c r="P169" s="24" t="str">
        <f t="shared" si="11"/>
        <v>Open Not Due</v>
      </c>
      <c r="Q169" s="17" t="s">
        <v>641</v>
      </c>
    </row>
    <row r="170" spans="1:17" ht="234.6" x14ac:dyDescent="0.3">
      <c r="A170" s="15">
        <f t="shared" si="10"/>
        <v>167</v>
      </c>
      <c r="B170" s="15" t="s">
        <v>19</v>
      </c>
      <c r="C170" s="15">
        <v>2025</v>
      </c>
      <c r="D170" s="15" t="s">
        <v>294</v>
      </c>
      <c r="E170" s="15" t="s">
        <v>295</v>
      </c>
      <c r="F170" s="57" t="s">
        <v>649</v>
      </c>
      <c r="G170" s="25" t="s">
        <v>650</v>
      </c>
      <c r="H170" s="25" t="s">
        <v>651</v>
      </c>
      <c r="I170" s="29" t="s">
        <v>50</v>
      </c>
      <c r="J170" s="20" t="s">
        <v>45</v>
      </c>
      <c r="K170" s="41" t="s">
        <v>652</v>
      </c>
      <c r="L170" s="45">
        <v>46203</v>
      </c>
      <c r="M170" s="47">
        <v>46203</v>
      </c>
      <c r="N170" s="19" t="str">
        <f t="shared" si="8"/>
        <v>Open Not Due</v>
      </c>
      <c r="O170" s="24">
        <f t="shared" si="9"/>
        <v>-91</v>
      </c>
      <c r="P170" s="24" t="str">
        <f t="shared" si="11"/>
        <v>Open Not Due</v>
      </c>
      <c r="Q170" s="17" t="s">
        <v>653</v>
      </c>
    </row>
    <row r="171" spans="1:17" ht="193.2" x14ac:dyDescent="0.3">
      <c r="A171" s="15">
        <f t="shared" si="10"/>
        <v>168</v>
      </c>
      <c r="B171" s="15" t="s">
        <v>19</v>
      </c>
      <c r="C171" s="15">
        <v>2025</v>
      </c>
      <c r="D171" s="15" t="s">
        <v>294</v>
      </c>
      <c r="E171" s="15" t="s">
        <v>295</v>
      </c>
      <c r="F171" s="57" t="s">
        <v>654</v>
      </c>
      <c r="G171" s="25" t="s">
        <v>655</v>
      </c>
      <c r="H171" s="25" t="s">
        <v>656</v>
      </c>
      <c r="I171" s="29" t="s">
        <v>79</v>
      </c>
      <c r="J171" s="20" t="s">
        <v>55</v>
      </c>
      <c r="K171" s="41" t="s">
        <v>657</v>
      </c>
      <c r="L171" s="45">
        <v>46295</v>
      </c>
      <c r="M171" s="47">
        <v>46295</v>
      </c>
      <c r="N171" s="19" t="str">
        <f t="shared" si="8"/>
        <v>Open Not Due</v>
      </c>
      <c r="O171" s="24">
        <f t="shared" si="9"/>
        <v>-183</v>
      </c>
      <c r="P171" s="24" t="str">
        <f t="shared" si="11"/>
        <v>Open Not Due</v>
      </c>
      <c r="Q171" s="17" t="s">
        <v>658</v>
      </c>
    </row>
    <row r="172" spans="1:17" ht="138" x14ac:dyDescent="0.3">
      <c r="A172" s="15">
        <f t="shared" si="10"/>
        <v>169</v>
      </c>
      <c r="B172" s="15" t="s">
        <v>19</v>
      </c>
      <c r="C172" s="15">
        <v>2025</v>
      </c>
      <c r="D172" s="15" t="s">
        <v>294</v>
      </c>
      <c r="E172" s="15" t="s">
        <v>295</v>
      </c>
      <c r="F172" s="57" t="s">
        <v>659</v>
      </c>
      <c r="G172" s="25" t="s">
        <v>660</v>
      </c>
      <c r="H172" s="25" t="s">
        <v>661</v>
      </c>
      <c r="I172" s="29" t="s">
        <v>388</v>
      </c>
      <c r="J172" s="20" t="s">
        <v>26</v>
      </c>
      <c r="K172" s="41" t="s">
        <v>662</v>
      </c>
      <c r="L172" s="45">
        <v>46295</v>
      </c>
      <c r="M172" s="47">
        <v>46295</v>
      </c>
      <c r="N172" s="19" t="str">
        <f t="shared" si="8"/>
        <v>Open Not Due</v>
      </c>
      <c r="O172" s="24">
        <f t="shared" si="9"/>
        <v>-183</v>
      </c>
      <c r="P172" s="24" t="str">
        <f t="shared" si="11"/>
        <v>Open Not Due</v>
      </c>
      <c r="Q172" s="17" t="s">
        <v>663</v>
      </c>
    </row>
    <row r="173" spans="1:17" ht="138" x14ac:dyDescent="0.3">
      <c r="A173" s="15">
        <f t="shared" si="10"/>
        <v>170</v>
      </c>
      <c r="B173" s="15" t="s">
        <v>19</v>
      </c>
      <c r="C173" s="15">
        <v>2025</v>
      </c>
      <c r="D173" s="15" t="s">
        <v>294</v>
      </c>
      <c r="E173" s="15" t="s">
        <v>389</v>
      </c>
      <c r="F173" s="57" t="s">
        <v>664</v>
      </c>
      <c r="G173" s="25" t="s">
        <v>665</v>
      </c>
      <c r="H173" s="25" t="s">
        <v>666</v>
      </c>
      <c r="I173" s="29" t="s">
        <v>50</v>
      </c>
      <c r="J173" s="20" t="s">
        <v>55</v>
      </c>
      <c r="K173" s="41" t="s">
        <v>667</v>
      </c>
      <c r="L173" s="45">
        <v>46387</v>
      </c>
      <c r="M173" s="47">
        <v>46387</v>
      </c>
      <c r="N173" s="19" t="str">
        <f t="shared" si="8"/>
        <v>Open Not Due</v>
      </c>
      <c r="O173" s="24">
        <f t="shared" si="9"/>
        <v>-275</v>
      </c>
      <c r="P173" s="24" t="str">
        <f t="shared" si="11"/>
        <v>Open Not Due</v>
      </c>
      <c r="Q173" s="17" t="s">
        <v>668</v>
      </c>
    </row>
    <row r="174" spans="1:17" ht="262.2" x14ac:dyDescent="0.3">
      <c r="A174" s="15">
        <f t="shared" si="10"/>
        <v>171</v>
      </c>
      <c r="B174" s="15" t="s">
        <v>19</v>
      </c>
      <c r="C174" s="15">
        <v>2025</v>
      </c>
      <c r="D174" s="15" t="s">
        <v>294</v>
      </c>
      <c r="E174" s="15" t="s">
        <v>389</v>
      </c>
      <c r="F174" s="57" t="s">
        <v>669</v>
      </c>
      <c r="G174" s="25" t="s">
        <v>670</v>
      </c>
      <c r="H174" s="25" t="s">
        <v>671</v>
      </c>
      <c r="I174" s="29" t="s">
        <v>50</v>
      </c>
      <c r="J174" s="20" t="s">
        <v>26</v>
      </c>
      <c r="K174" s="41" t="s">
        <v>667</v>
      </c>
      <c r="L174" s="45">
        <v>46203</v>
      </c>
      <c r="M174" s="45">
        <v>46203</v>
      </c>
      <c r="N174" s="19" t="str">
        <f t="shared" si="8"/>
        <v>Open Not Due</v>
      </c>
      <c r="O174" s="24">
        <f t="shared" si="9"/>
        <v>-91</v>
      </c>
      <c r="P174" s="24" t="str">
        <f t="shared" si="11"/>
        <v>Open Not Due</v>
      </c>
      <c r="Q174" s="17" t="s">
        <v>672</v>
      </c>
    </row>
    <row r="175" spans="1:17" ht="193.2" x14ac:dyDescent="0.3">
      <c r="A175" s="15">
        <f>ROW(A175)-3</f>
        <v>172</v>
      </c>
      <c r="B175" s="15" t="s">
        <v>19</v>
      </c>
      <c r="C175" s="15">
        <v>2025</v>
      </c>
      <c r="D175" s="15" t="s">
        <v>294</v>
      </c>
      <c r="E175" s="15" t="s">
        <v>389</v>
      </c>
      <c r="F175" s="57" t="s">
        <v>673</v>
      </c>
      <c r="G175" s="25" t="s">
        <v>674</v>
      </c>
      <c r="H175" s="25" t="s">
        <v>675</v>
      </c>
      <c r="I175" s="29" t="s">
        <v>79</v>
      </c>
      <c r="J175" s="20" t="s">
        <v>74</v>
      </c>
      <c r="K175" s="41" t="s">
        <v>667</v>
      </c>
      <c r="L175" s="45">
        <v>46387</v>
      </c>
      <c r="M175" s="45">
        <v>46387</v>
      </c>
      <c r="N175" s="19" t="str">
        <f t="shared" si="8"/>
        <v>Open Not Due</v>
      </c>
      <c r="O175" s="24">
        <f t="shared" si="9"/>
        <v>-275</v>
      </c>
      <c r="P175" s="24" t="str">
        <f t="shared" si="11"/>
        <v>Open Not Due</v>
      </c>
      <c r="Q175" s="17" t="s">
        <v>676</v>
      </c>
    </row>
    <row r="176" spans="1:17" ht="124.2" x14ac:dyDescent="0.3">
      <c r="A176" s="15">
        <f>ROW(A176)-3</f>
        <v>173</v>
      </c>
      <c r="B176" s="15" t="s">
        <v>19</v>
      </c>
      <c r="C176" s="15">
        <v>2025</v>
      </c>
      <c r="D176" s="15" t="s">
        <v>359</v>
      </c>
      <c r="E176" s="15" t="s">
        <v>360</v>
      </c>
      <c r="F176" s="57" t="s">
        <v>677</v>
      </c>
      <c r="G176" s="25" t="s">
        <v>678</v>
      </c>
      <c r="H176" s="25" t="s">
        <v>679</v>
      </c>
      <c r="I176" s="29" t="s">
        <v>79</v>
      </c>
      <c r="J176" s="20" t="s">
        <v>55</v>
      </c>
      <c r="K176" s="41" t="s">
        <v>680</v>
      </c>
      <c r="L176" s="45">
        <v>46143</v>
      </c>
      <c r="M176" s="45">
        <v>46143</v>
      </c>
      <c r="N176" s="19" t="str">
        <f t="shared" si="8"/>
        <v>Open Not Due</v>
      </c>
      <c r="O176" s="24">
        <f t="shared" si="9"/>
        <v>-31</v>
      </c>
      <c r="P176" s="24" t="str">
        <f t="shared" si="11"/>
        <v>Open Not Due</v>
      </c>
      <c r="Q176" s="17" t="s">
        <v>681</v>
      </c>
    </row>
    <row r="177" spans="1:17" ht="55.2" x14ac:dyDescent="0.3">
      <c r="A177" s="15">
        <f>ROW(A177)-3</f>
        <v>174</v>
      </c>
      <c r="B177" s="15" t="s">
        <v>19</v>
      </c>
      <c r="C177" s="15">
        <v>2025</v>
      </c>
      <c r="D177" s="15" t="s">
        <v>359</v>
      </c>
      <c r="E177" s="15" t="s">
        <v>360</v>
      </c>
      <c r="F177" s="57" t="s">
        <v>682</v>
      </c>
      <c r="G177" s="25" t="s">
        <v>683</v>
      </c>
      <c r="H177" s="25" t="s">
        <v>684</v>
      </c>
      <c r="I177" s="29" t="s">
        <v>79</v>
      </c>
      <c r="J177" s="20" t="s">
        <v>26</v>
      </c>
      <c r="K177" s="41" t="s">
        <v>680</v>
      </c>
      <c r="L177" s="45">
        <v>46204</v>
      </c>
      <c r="M177" s="45">
        <v>46204</v>
      </c>
      <c r="N177" s="19" t="str">
        <f t="shared" si="8"/>
        <v>Open Not Due</v>
      </c>
      <c r="O177" s="24">
        <f t="shared" si="9"/>
        <v>-92</v>
      </c>
      <c r="P177" s="24" t="str">
        <f t="shared" si="11"/>
        <v>Open Not Due</v>
      </c>
      <c r="Q177" s="17" t="s">
        <v>685</v>
      </c>
    </row>
    <row r="178" spans="1:17" ht="96.6" x14ac:dyDescent="0.3">
      <c r="A178" s="15">
        <f>ROW(A178)-3</f>
        <v>175</v>
      </c>
      <c r="B178" s="15" t="s">
        <v>19</v>
      </c>
      <c r="C178" s="15">
        <v>2025</v>
      </c>
      <c r="D178" s="15" t="s">
        <v>359</v>
      </c>
      <c r="E178" s="15" t="s">
        <v>360</v>
      </c>
      <c r="F178" s="57" t="s">
        <v>686</v>
      </c>
      <c r="G178" s="25" t="s">
        <v>687</v>
      </c>
      <c r="H178" s="25" t="s">
        <v>688</v>
      </c>
      <c r="I178" s="29" t="s">
        <v>388</v>
      </c>
      <c r="J178" s="20" t="s">
        <v>55</v>
      </c>
      <c r="K178" s="41" t="s">
        <v>680</v>
      </c>
      <c r="L178" s="45">
        <v>46204</v>
      </c>
      <c r="M178" s="45">
        <v>46204</v>
      </c>
      <c r="N178" s="19" t="str">
        <f t="shared" si="8"/>
        <v>Open Not Due</v>
      </c>
      <c r="O178" s="24">
        <f t="shared" si="9"/>
        <v>-92</v>
      </c>
      <c r="P178" s="24" t="str">
        <f t="shared" si="11"/>
        <v>Open Not Due</v>
      </c>
      <c r="Q178" s="17" t="s">
        <v>689</v>
      </c>
    </row>
  </sheetData>
  <conditionalFormatting sqref="I4:I178">
    <cfRule type="cellIs" dxfId="10" priority="4" operator="equal">
      <formula>"Medium"</formula>
    </cfRule>
    <cfRule type="cellIs" dxfId="9" priority="5" operator="equal">
      <formula>"Critical"</formula>
    </cfRule>
    <cfRule type="cellIs" dxfId="8" priority="6" operator="equal">
      <formula>"High"</formula>
    </cfRule>
    <cfRule type="cellIs" dxfId="7" priority="7" operator="equal">
      <formula>"Low"</formula>
    </cfRule>
  </conditionalFormatting>
  <conditionalFormatting sqref="N4:N178">
    <cfRule type="cellIs" dxfId="6" priority="1" operator="equal">
      <formula>"Open Due"</formula>
    </cfRule>
    <cfRule type="cellIs" dxfId="5" priority="2" operator="equal">
      <formula>"Open Not Due"</formula>
    </cfRule>
    <cfRule type="cellIs" dxfId="4" priority="3" operator="equal">
      <formula>"Closed"</formula>
    </cfRule>
  </conditionalFormatting>
  <dataValidations count="3">
    <dataValidation type="list" allowBlank="1" showInputMessage="1" showErrorMessage="1" sqref="N4:N178" xr:uid="{4BAD3CF3-3C7A-4361-BB43-6BAF3806FCCF}">
      <formula1>"Closed, Open Due, Open Not Due"</formula1>
    </dataValidation>
    <dataValidation type="list" allowBlank="1" showInputMessage="1" showErrorMessage="1" sqref="I4:I116" xr:uid="{8467E8BA-CE1F-4DC5-9098-94D5ADB6810D}">
      <formula1>"Critical, Hight, Medium, Low"</formula1>
    </dataValidation>
    <dataValidation type="list" allowBlank="1" showInputMessage="1" showErrorMessage="1" sqref="J4:J178" xr:uid="{5C6F5ADF-1CCA-48A6-B7EC-52DA15802F23}">
      <formula1>"Policies &amp; Procedures, Strategic, Org. structure JD &amp; KPI's, Operation, ERP system, Authority Matrix,Cybersecurity"</formula1>
    </dataValidation>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4770-79AC-4ECA-BEEA-7F8159A713C3}">
  <sheetPr>
    <tabColor rgb="FFFF3300"/>
  </sheetPr>
  <dimension ref="A3:C20"/>
  <sheetViews>
    <sheetView workbookViewId="0">
      <selection activeCell="A3" sqref="A3"/>
    </sheetView>
  </sheetViews>
  <sheetFormatPr defaultRowHeight="14.4" x14ac:dyDescent="0.3"/>
  <sheetData>
    <row r="3" spans="1:3" x14ac:dyDescent="0.3">
      <c r="A3" s="76"/>
      <c r="B3" s="77"/>
      <c r="C3" s="78"/>
    </row>
    <row r="4" spans="1:3" x14ac:dyDescent="0.3">
      <c r="A4" s="79"/>
      <c r="B4" s="80"/>
      <c r="C4" s="81"/>
    </row>
    <row r="5" spans="1:3" x14ac:dyDescent="0.3">
      <c r="A5" s="79"/>
      <c r="B5" s="80"/>
      <c r="C5" s="81"/>
    </row>
    <row r="6" spans="1:3" x14ac:dyDescent="0.3">
      <c r="A6" s="79"/>
      <c r="B6" s="80"/>
      <c r="C6" s="81"/>
    </row>
    <row r="7" spans="1:3" x14ac:dyDescent="0.3">
      <c r="A7" s="79"/>
      <c r="B7" s="80"/>
      <c r="C7" s="81"/>
    </row>
    <row r="8" spans="1:3" x14ac:dyDescent="0.3">
      <c r="A8" s="79"/>
      <c r="B8" s="80"/>
      <c r="C8" s="81"/>
    </row>
    <row r="9" spans="1:3" x14ac:dyDescent="0.3">
      <c r="A9" s="79"/>
      <c r="B9" s="80"/>
      <c r="C9" s="81"/>
    </row>
    <row r="10" spans="1:3" x14ac:dyDescent="0.3">
      <c r="A10" s="79"/>
      <c r="B10" s="80"/>
      <c r="C10" s="81"/>
    </row>
    <row r="11" spans="1:3" x14ac:dyDescent="0.3">
      <c r="A11" s="79"/>
      <c r="B11" s="80"/>
      <c r="C11" s="81"/>
    </row>
    <row r="12" spans="1:3" x14ac:dyDescent="0.3">
      <c r="A12" s="79"/>
      <c r="B12" s="80"/>
      <c r="C12" s="81"/>
    </row>
    <row r="13" spans="1:3" x14ac:dyDescent="0.3">
      <c r="A13" s="79"/>
      <c r="B13" s="80"/>
      <c r="C13" s="81"/>
    </row>
    <row r="14" spans="1:3" x14ac:dyDescent="0.3">
      <c r="A14" s="79"/>
      <c r="B14" s="80"/>
      <c r="C14" s="81"/>
    </row>
    <row r="15" spans="1:3" x14ac:dyDescent="0.3">
      <c r="A15" s="79"/>
      <c r="B15" s="80"/>
      <c r="C15" s="81"/>
    </row>
    <row r="16" spans="1:3" x14ac:dyDescent="0.3">
      <c r="A16" s="79"/>
      <c r="B16" s="80"/>
      <c r="C16" s="81"/>
    </row>
    <row r="17" spans="1:3" x14ac:dyDescent="0.3">
      <c r="A17" s="79"/>
      <c r="B17" s="80"/>
      <c r="C17" s="81"/>
    </row>
    <row r="18" spans="1:3" x14ac:dyDescent="0.3">
      <c r="A18" s="79"/>
      <c r="B18" s="80"/>
      <c r="C18" s="81"/>
    </row>
    <row r="19" spans="1:3" x14ac:dyDescent="0.3">
      <c r="A19" s="79"/>
      <c r="B19" s="80"/>
      <c r="C19" s="81"/>
    </row>
    <row r="20" spans="1:3" x14ac:dyDescent="0.3">
      <c r="A20" s="82"/>
      <c r="B20" s="83"/>
      <c r="C20"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8A2B5-C750-4F18-AE57-513ECA514AC1}">
  <sheetPr>
    <tabColor rgb="FFFF3300"/>
  </sheetPr>
  <dimension ref="A1:Z320"/>
  <sheetViews>
    <sheetView showGridLines="0" tabSelected="1" zoomScale="70" zoomScaleNormal="70" workbookViewId="0">
      <pane xSplit="8" ySplit="3" topLeftCell="I309" activePane="bottomRight" state="frozen"/>
      <selection pane="topRight" activeCell="G1" sqref="G1"/>
      <selection pane="bottomLeft" activeCell="A4" sqref="A4"/>
      <selection pane="bottomRight" activeCell="A310" sqref="A310"/>
    </sheetView>
  </sheetViews>
  <sheetFormatPr defaultColWidth="45.6640625" defaultRowHeight="12.75" customHeight="1" x14ac:dyDescent="0.3"/>
  <cols>
    <col min="1" max="1" width="6.5546875" style="1" customWidth="1"/>
    <col min="2" max="2" width="11.6640625" style="1" customWidth="1"/>
    <col min="3" max="3" width="11.5546875" style="1" customWidth="1"/>
    <col min="4" max="4" width="9.5546875" style="2" customWidth="1"/>
    <col min="5" max="5" width="10.6640625" style="2" customWidth="1"/>
    <col min="6" max="6" width="28.109375" style="4" customWidth="1"/>
    <col min="7" max="7" width="20.44140625" style="4" bestFit="1" customWidth="1"/>
    <col min="8" max="8" width="53.33203125" style="5" bestFit="1" customWidth="1"/>
    <col min="9" max="9" width="72.33203125" style="6" customWidth="1"/>
    <col min="10" max="10" width="52.6640625" style="1" customWidth="1"/>
    <col min="11" max="11" width="11.44140625" style="1" bestFit="1" customWidth="1"/>
    <col min="12" max="12" width="16" style="7" customWidth="1"/>
    <col min="13" max="13" width="21.44140625" style="1" customWidth="1"/>
    <col min="14" max="19" width="23.33203125" style="8" customWidth="1"/>
    <col min="20" max="20" width="23.6640625" style="61" customWidth="1"/>
    <col min="21" max="21" width="16.33203125" style="4" customWidth="1"/>
    <col min="22" max="24" width="32.5546875" style="4" customWidth="1"/>
    <col min="25" max="25" width="52.6640625" style="86" customWidth="1"/>
    <col min="26" max="26" width="53.33203125" style="5" bestFit="1" customWidth="1"/>
    <col min="27" max="16384" width="45.6640625" style="1"/>
  </cols>
  <sheetData>
    <row r="1" spans="1:26" ht="47.25" customHeight="1" x14ac:dyDescent="0.3">
      <c r="F1" s="3" t="s">
        <v>0</v>
      </c>
      <c r="T1" s="8"/>
    </row>
    <row r="2" spans="1:26" ht="23.4" x14ac:dyDescent="0.3">
      <c r="A2" s="9" t="s">
        <v>1</v>
      </c>
      <c r="B2" s="9"/>
      <c r="C2" s="9"/>
      <c r="H2" s="1"/>
      <c r="T2" s="8"/>
      <c r="U2" s="10">
        <v>46203</v>
      </c>
      <c r="V2" s="4" t="s">
        <v>2</v>
      </c>
      <c r="Z2" s="1"/>
    </row>
    <row r="3" spans="1:26" ht="29.4" customHeight="1" x14ac:dyDescent="0.3">
      <c r="A3" s="11" t="s">
        <v>3</v>
      </c>
      <c r="B3" s="11" t="s">
        <v>4</v>
      </c>
      <c r="C3" s="11" t="s">
        <v>690</v>
      </c>
      <c r="D3" s="11" t="s">
        <v>5</v>
      </c>
      <c r="E3" s="11" t="s">
        <v>691</v>
      </c>
      <c r="F3" s="11" t="s">
        <v>6</v>
      </c>
      <c r="G3" s="11" t="s">
        <v>7</v>
      </c>
      <c r="H3" s="100" t="s">
        <v>8</v>
      </c>
      <c r="I3" s="11" t="s">
        <v>9</v>
      </c>
      <c r="J3" s="11" t="s">
        <v>10</v>
      </c>
      <c r="K3" s="11" t="s">
        <v>11</v>
      </c>
      <c r="L3" s="11" t="s">
        <v>12</v>
      </c>
      <c r="M3" s="85" t="s">
        <v>13</v>
      </c>
      <c r="N3" s="109" t="s">
        <v>14</v>
      </c>
      <c r="O3" s="128" t="s">
        <v>692</v>
      </c>
      <c r="P3" s="121" t="s">
        <v>693</v>
      </c>
      <c r="Q3" s="106" t="s">
        <v>694</v>
      </c>
      <c r="R3" s="107" t="s">
        <v>695</v>
      </c>
      <c r="S3" s="108" t="s">
        <v>696</v>
      </c>
      <c r="T3" s="13" t="s">
        <v>15</v>
      </c>
      <c r="U3" s="11" t="s">
        <v>16</v>
      </c>
      <c r="V3" s="11" t="s">
        <v>2</v>
      </c>
      <c r="W3" s="14" t="s">
        <v>17</v>
      </c>
      <c r="X3" s="85" t="s">
        <v>697</v>
      </c>
      <c r="Y3" s="11" t="s">
        <v>18</v>
      </c>
      <c r="Z3" s="11" t="s">
        <v>698</v>
      </c>
    </row>
    <row r="4" spans="1:26" ht="27.6" x14ac:dyDescent="0.3">
      <c r="A4" s="15">
        <f>ROW(A4)-3</f>
        <v>1</v>
      </c>
      <c r="B4" s="15" t="s">
        <v>699</v>
      </c>
      <c r="C4" s="15" t="s">
        <v>699</v>
      </c>
      <c r="D4" s="15">
        <v>2020</v>
      </c>
      <c r="E4" s="15"/>
      <c r="F4" s="15" t="s">
        <v>700</v>
      </c>
      <c r="G4" s="16" t="s">
        <v>701</v>
      </c>
      <c r="H4" s="101" t="s">
        <v>702</v>
      </c>
      <c r="I4" s="25" t="s">
        <v>702</v>
      </c>
      <c r="J4" s="18" t="s">
        <v>703</v>
      </c>
      <c r="K4" s="67" t="s">
        <v>25</v>
      </c>
      <c r="L4" s="20" t="s">
        <v>26</v>
      </c>
      <c r="M4" s="115" t="s">
        <v>704</v>
      </c>
      <c r="N4" s="110">
        <v>44231</v>
      </c>
      <c r="O4" s="110"/>
      <c r="P4" s="122" t="str">
        <f>TEXT(Table134[[#This Row],[Implementation Due Date]],"YYYY")</f>
        <v>2021</v>
      </c>
      <c r="Q4" s="96" t="str">
        <f>"Q"&amp;ROUNDUP(MONTH(Table134[[#This Row],[Implementation Due Date]])/3,0)</f>
        <v>Q1</v>
      </c>
      <c r="R4" s="98">
        <v>2022</v>
      </c>
      <c r="S4" s="95" t="s">
        <v>705</v>
      </c>
      <c r="T4" s="89"/>
      <c r="U4" s="125" t="s">
        <v>706</v>
      </c>
      <c r="V4" s="73" t="s">
        <v>707</v>
      </c>
      <c r="W4" s="15" t="s">
        <v>706</v>
      </c>
      <c r="X4" s="15"/>
      <c r="Y4" s="26" t="s">
        <v>708</v>
      </c>
      <c r="Z4" s="25"/>
    </row>
    <row r="5" spans="1:26" ht="69" x14ac:dyDescent="0.3">
      <c r="A5" s="15">
        <f t="shared" ref="A5:A68" si="0">ROW(A5)-3</f>
        <v>2</v>
      </c>
      <c r="B5" s="15" t="s">
        <v>699</v>
      </c>
      <c r="C5" s="15" t="s">
        <v>699</v>
      </c>
      <c r="D5" s="15">
        <v>2020</v>
      </c>
      <c r="E5" s="15"/>
      <c r="F5" s="15" t="s">
        <v>700</v>
      </c>
      <c r="G5" s="16" t="s">
        <v>701</v>
      </c>
      <c r="H5" s="101" t="s">
        <v>709</v>
      </c>
      <c r="I5" s="17" t="s">
        <v>709</v>
      </c>
      <c r="J5" s="18" t="s">
        <v>710</v>
      </c>
      <c r="K5" s="67" t="s">
        <v>25</v>
      </c>
      <c r="L5" s="20" t="s">
        <v>55</v>
      </c>
      <c r="M5" s="115" t="s">
        <v>704</v>
      </c>
      <c r="N5" s="110">
        <v>44231</v>
      </c>
      <c r="O5" s="110"/>
      <c r="P5" s="122" t="str">
        <f>TEXT(Table134[[#This Row],[Implementation Due Date]],"YYYY")</f>
        <v>2021</v>
      </c>
      <c r="Q5" s="96" t="str">
        <f>"Q"&amp;ROUNDUP(MONTH(Table134[[#This Row],[Implementation Due Date]])/3,0)</f>
        <v>Q1</v>
      </c>
      <c r="R5" s="98">
        <v>2024</v>
      </c>
      <c r="S5" s="95" t="s">
        <v>711</v>
      </c>
      <c r="T5" s="89"/>
      <c r="U5" s="125" t="s">
        <v>706</v>
      </c>
      <c r="V5" s="73" t="s">
        <v>707</v>
      </c>
      <c r="W5" s="15" t="s">
        <v>706</v>
      </c>
      <c r="X5" s="15"/>
      <c r="Y5" s="26" t="s">
        <v>712</v>
      </c>
      <c r="Z5" s="17"/>
    </row>
    <row r="6" spans="1:26" ht="110.4" x14ac:dyDescent="0.3">
      <c r="A6" s="15">
        <f t="shared" si="0"/>
        <v>3</v>
      </c>
      <c r="B6" s="15" t="s">
        <v>699</v>
      </c>
      <c r="C6" s="15" t="s">
        <v>699</v>
      </c>
      <c r="D6" s="15">
        <v>2020</v>
      </c>
      <c r="E6" s="15"/>
      <c r="F6" s="15" t="s">
        <v>700</v>
      </c>
      <c r="G6" s="16" t="s">
        <v>701</v>
      </c>
      <c r="H6" s="101" t="s">
        <v>713</v>
      </c>
      <c r="I6" s="25" t="s">
        <v>713</v>
      </c>
      <c r="J6" s="18" t="s">
        <v>714</v>
      </c>
      <c r="K6" s="67" t="s">
        <v>25</v>
      </c>
      <c r="L6" s="20" t="s">
        <v>26</v>
      </c>
      <c r="M6" s="115" t="s">
        <v>704</v>
      </c>
      <c r="N6" s="110">
        <v>44231</v>
      </c>
      <c r="O6" s="110"/>
      <c r="P6" s="98" t="str">
        <f>TEXT(Table134[[#This Row],[Implementation Due Date]],"YYYY")</f>
        <v>2021</v>
      </c>
      <c r="Q6" s="96" t="str">
        <f>"Q"&amp;ROUNDUP(MONTH(Table134[[#This Row],[Implementation Due Date]])/3,0)</f>
        <v>Q1</v>
      </c>
      <c r="R6" s="98">
        <v>2024</v>
      </c>
      <c r="S6" s="95" t="s">
        <v>711</v>
      </c>
      <c r="T6" s="89"/>
      <c r="U6" s="125" t="s">
        <v>706</v>
      </c>
      <c r="V6" s="73" t="s">
        <v>707</v>
      </c>
      <c r="W6" s="15" t="s">
        <v>706</v>
      </c>
      <c r="X6" s="15"/>
      <c r="Y6" s="26" t="s">
        <v>715</v>
      </c>
      <c r="Z6" s="25"/>
    </row>
    <row r="7" spans="1:26" ht="55.2" x14ac:dyDescent="0.3">
      <c r="A7" s="15">
        <f t="shared" si="0"/>
        <v>4</v>
      </c>
      <c r="B7" s="15" t="s">
        <v>699</v>
      </c>
      <c r="C7" s="15" t="s">
        <v>699</v>
      </c>
      <c r="D7" s="15">
        <v>2020</v>
      </c>
      <c r="E7" s="15"/>
      <c r="F7" s="15" t="s">
        <v>700</v>
      </c>
      <c r="G7" s="16" t="s">
        <v>701</v>
      </c>
      <c r="H7" s="101" t="s">
        <v>716</v>
      </c>
      <c r="I7" s="26" t="s">
        <v>716</v>
      </c>
      <c r="J7" s="18" t="s">
        <v>717</v>
      </c>
      <c r="K7" s="67" t="s">
        <v>25</v>
      </c>
      <c r="L7" s="20" t="s">
        <v>55</v>
      </c>
      <c r="M7" s="115" t="s">
        <v>704</v>
      </c>
      <c r="N7" s="110">
        <v>44227</v>
      </c>
      <c r="O7" s="110"/>
      <c r="P7" s="122" t="str">
        <f>TEXT(Table134[[#This Row],[Implementation Due Date]],"YYYY")</f>
        <v>2021</v>
      </c>
      <c r="Q7" s="96" t="str">
        <f>"Q"&amp;ROUNDUP(MONTH(Table134[[#This Row],[Implementation Due Date]])/3,0)</f>
        <v>Q1</v>
      </c>
      <c r="R7" s="99">
        <v>2021</v>
      </c>
      <c r="S7" s="95" t="s">
        <v>705</v>
      </c>
      <c r="T7" s="90"/>
      <c r="U7" s="125" t="s">
        <v>706</v>
      </c>
      <c r="V7" s="73" t="s">
        <v>707</v>
      </c>
      <c r="W7" s="15" t="s">
        <v>706</v>
      </c>
      <c r="X7" s="15"/>
      <c r="Y7" s="26" t="s">
        <v>718</v>
      </c>
      <c r="Z7" s="26"/>
    </row>
    <row r="8" spans="1:26" ht="55.2" x14ac:dyDescent="0.3">
      <c r="A8" s="15">
        <f t="shared" si="0"/>
        <v>5</v>
      </c>
      <c r="B8" s="15" t="s">
        <v>699</v>
      </c>
      <c r="C8" s="15" t="s">
        <v>699</v>
      </c>
      <c r="D8" s="15">
        <v>2020</v>
      </c>
      <c r="E8" s="15"/>
      <c r="F8" s="15" t="s">
        <v>700</v>
      </c>
      <c r="G8" s="16" t="s">
        <v>701</v>
      </c>
      <c r="H8" s="101" t="s">
        <v>719</v>
      </c>
      <c r="I8" s="25" t="s">
        <v>719</v>
      </c>
      <c r="J8" s="18" t="s">
        <v>720</v>
      </c>
      <c r="K8" s="67" t="s">
        <v>25</v>
      </c>
      <c r="L8" s="20" t="s">
        <v>55</v>
      </c>
      <c r="M8" s="115" t="s">
        <v>704</v>
      </c>
      <c r="N8" s="110">
        <v>44231</v>
      </c>
      <c r="O8" s="110"/>
      <c r="P8" s="122" t="str">
        <f>TEXT(Table134[[#This Row],[Implementation Due Date]],"YYYY")</f>
        <v>2021</v>
      </c>
      <c r="Q8" s="96" t="str">
        <f>"Q"&amp;ROUNDUP(MONTH(Table134[[#This Row],[Implementation Due Date]])/3,0)</f>
        <v>Q1</v>
      </c>
      <c r="R8" s="99">
        <v>2021</v>
      </c>
      <c r="S8" s="95" t="s">
        <v>705</v>
      </c>
      <c r="T8" s="89"/>
      <c r="U8" s="125" t="s">
        <v>706</v>
      </c>
      <c r="V8" s="73" t="s">
        <v>707</v>
      </c>
      <c r="W8" s="15" t="s">
        <v>706</v>
      </c>
      <c r="X8" s="15"/>
      <c r="Y8" s="26" t="s">
        <v>721</v>
      </c>
      <c r="Z8" s="25"/>
    </row>
    <row r="9" spans="1:26" ht="69" x14ac:dyDescent="0.3">
      <c r="A9" s="15">
        <f t="shared" si="0"/>
        <v>6</v>
      </c>
      <c r="B9" s="15" t="s">
        <v>699</v>
      </c>
      <c r="C9" s="15" t="s">
        <v>699</v>
      </c>
      <c r="D9" s="15">
        <v>2020</v>
      </c>
      <c r="E9" s="15"/>
      <c r="F9" s="15" t="s">
        <v>700</v>
      </c>
      <c r="G9" s="16" t="s">
        <v>701</v>
      </c>
      <c r="H9" s="101" t="s">
        <v>722</v>
      </c>
      <c r="I9" s="25" t="s">
        <v>722</v>
      </c>
      <c r="J9" s="18" t="s">
        <v>723</v>
      </c>
      <c r="K9" s="67" t="s">
        <v>25</v>
      </c>
      <c r="L9" s="20" t="s">
        <v>55</v>
      </c>
      <c r="M9" s="115" t="s">
        <v>704</v>
      </c>
      <c r="N9" s="110">
        <v>44231</v>
      </c>
      <c r="O9" s="110"/>
      <c r="P9" s="122" t="str">
        <f>TEXT(Table134[[#This Row],[Implementation Due Date]],"YYYY")</f>
        <v>2021</v>
      </c>
      <c r="Q9" s="96" t="str">
        <f>"Q"&amp;ROUNDUP(MONTH(Table134[[#This Row],[Implementation Due Date]])/3,0)</f>
        <v>Q1</v>
      </c>
      <c r="R9" s="98">
        <v>2024</v>
      </c>
      <c r="S9" s="95" t="s">
        <v>711</v>
      </c>
      <c r="T9" s="89"/>
      <c r="U9" s="125" t="s">
        <v>706</v>
      </c>
      <c r="V9" s="73" t="s">
        <v>707</v>
      </c>
      <c r="W9" s="15" t="s">
        <v>706</v>
      </c>
      <c r="X9" s="15"/>
      <c r="Y9" s="26" t="s">
        <v>724</v>
      </c>
      <c r="Z9" s="25"/>
    </row>
    <row r="10" spans="1:26" ht="55.2" x14ac:dyDescent="0.3">
      <c r="A10" s="15">
        <f t="shared" si="0"/>
        <v>7</v>
      </c>
      <c r="B10" s="15" t="s">
        <v>699</v>
      </c>
      <c r="C10" s="15" t="s">
        <v>699</v>
      </c>
      <c r="D10" s="15">
        <v>2020</v>
      </c>
      <c r="E10" s="15"/>
      <c r="F10" s="15" t="s">
        <v>700</v>
      </c>
      <c r="G10" s="16" t="s">
        <v>701</v>
      </c>
      <c r="H10" s="101" t="s">
        <v>725</v>
      </c>
      <c r="I10" s="25" t="s">
        <v>725</v>
      </c>
      <c r="J10" s="18" t="s">
        <v>726</v>
      </c>
      <c r="K10" s="67" t="s">
        <v>25</v>
      </c>
      <c r="L10" s="20" t="s">
        <v>55</v>
      </c>
      <c r="M10" s="115" t="s">
        <v>704</v>
      </c>
      <c r="N10" s="110">
        <v>44231</v>
      </c>
      <c r="O10" s="110"/>
      <c r="P10" s="122" t="str">
        <f>TEXT(Table134[[#This Row],[Implementation Due Date]],"YYYY")</f>
        <v>2021</v>
      </c>
      <c r="Q10" s="96" t="str">
        <f>"Q"&amp;ROUNDUP(MONTH(Table134[[#This Row],[Implementation Due Date]])/3,0)</f>
        <v>Q1</v>
      </c>
      <c r="R10" s="99">
        <v>2021</v>
      </c>
      <c r="S10" s="95" t="s">
        <v>705</v>
      </c>
      <c r="T10" s="90"/>
      <c r="U10" s="125" t="s">
        <v>706</v>
      </c>
      <c r="V10" s="73" t="s">
        <v>707</v>
      </c>
      <c r="W10" s="15" t="s">
        <v>706</v>
      </c>
      <c r="X10" s="15"/>
      <c r="Y10" s="26" t="s">
        <v>727</v>
      </c>
      <c r="Z10" s="25"/>
    </row>
    <row r="11" spans="1:26" ht="55.2" x14ac:dyDescent="0.3">
      <c r="A11" s="15">
        <f t="shared" si="0"/>
        <v>8</v>
      </c>
      <c r="B11" s="15" t="s">
        <v>699</v>
      </c>
      <c r="C11" s="15" t="s">
        <v>699</v>
      </c>
      <c r="D11" s="15">
        <v>2020</v>
      </c>
      <c r="E11" s="15"/>
      <c r="F11" s="15" t="s">
        <v>700</v>
      </c>
      <c r="G11" s="16" t="s">
        <v>701</v>
      </c>
      <c r="H11" s="101" t="s">
        <v>728</v>
      </c>
      <c r="I11" s="25" t="s">
        <v>728</v>
      </c>
      <c r="J11" s="18" t="s">
        <v>729</v>
      </c>
      <c r="K11" s="67" t="s">
        <v>25</v>
      </c>
      <c r="L11" s="20" t="s">
        <v>55</v>
      </c>
      <c r="M11" s="115" t="s">
        <v>704</v>
      </c>
      <c r="N11" s="110">
        <v>44231</v>
      </c>
      <c r="O11" s="110"/>
      <c r="P11" s="122" t="str">
        <f>TEXT(Table134[[#This Row],[Implementation Due Date]],"YYYY")</f>
        <v>2021</v>
      </c>
      <c r="Q11" s="96" t="str">
        <f>"Q"&amp;ROUNDUP(MONTH(Table134[[#This Row],[Implementation Due Date]])/3,0)</f>
        <v>Q1</v>
      </c>
      <c r="R11" s="99">
        <v>2021</v>
      </c>
      <c r="S11" s="95" t="s">
        <v>705</v>
      </c>
      <c r="T11" s="89"/>
      <c r="U11" s="125" t="s">
        <v>706</v>
      </c>
      <c r="V11" s="73" t="s">
        <v>707</v>
      </c>
      <c r="W11" s="15" t="s">
        <v>706</v>
      </c>
      <c r="X11" s="15"/>
      <c r="Y11" s="26" t="s">
        <v>730</v>
      </c>
      <c r="Z11" s="25"/>
    </row>
    <row r="12" spans="1:26" ht="82.8" x14ac:dyDescent="0.3">
      <c r="A12" s="15">
        <f t="shared" si="0"/>
        <v>9</v>
      </c>
      <c r="B12" s="15" t="s">
        <v>699</v>
      </c>
      <c r="C12" s="15" t="s">
        <v>699</v>
      </c>
      <c r="D12" s="15">
        <v>2020</v>
      </c>
      <c r="E12" s="15"/>
      <c r="F12" s="15" t="s">
        <v>731</v>
      </c>
      <c r="G12" s="16" t="s">
        <v>732</v>
      </c>
      <c r="H12" s="101" t="s">
        <v>733</v>
      </c>
      <c r="I12" s="62" t="s">
        <v>734</v>
      </c>
      <c r="J12" s="18" t="s">
        <v>735</v>
      </c>
      <c r="K12" s="67" t="s">
        <v>25</v>
      </c>
      <c r="L12" s="20" t="s">
        <v>55</v>
      </c>
      <c r="M12" s="115" t="s">
        <v>736</v>
      </c>
      <c r="N12" s="110">
        <v>44147</v>
      </c>
      <c r="O12" s="110"/>
      <c r="P12" s="122" t="str">
        <f>TEXT(Table134[[#This Row],[Implementation Due Date]],"YYYY")</f>
        <v>2020</v>
      </c>
      <c r="Q12" s="96" t="str">
        <f>"Q"&amp;ROUNDUP(MONTH(Table134[[#This Row],[Implementation Due Date]])/3,0)</f>
        <v>Q4</v>
      </c>
      <c r="R12" s="99">
        <v>2021</v>
      </c>
      <c r="S12" s="95" t="s">
        <v>705</v>
      </c>
      <c r="T12" s="90"/>
      <c r="U12" s="125" t="s">
        <v>706</v>
      </c>
      <c r="V12" s="73" t="s">
        <v>707</v>
      </c>
      <c r="W12" s="15" t="s">
        <v>706</v>
      </c>
      <c r="X12" s="15"/>
      <c r="Y12" s="26" t="s">
        <v>737</v>
      </c>
      <c r="Z12" s="25"/>
    </row>
    <row r="13" spans="1:26" ht="41.4" x14ac:dyDescent="0.3">
      <c r="A13" s="15">
        <f t="shared" si="0"/>
        <v>10</v>
      </c>
      <c r="B13" s="15" t="s">
        <v>699</v>
      </c>
      <c r="C13" s="15" t="s">
        <v>699</v>
      </c>
      <c r="D13" s="15">
        <v>2020</v>
      </c>
      <c r="E13" s="15"/>
      <c r="F13" s="15" t="s">
        <v>731</v>
      </c>
      <c r="G13" s="16" t="s">
        <v>738</v>
      </c>
      <c r="H13" s="101" t="s">
        <v>739</v>
      </c>
      <c r="I13" s="62" t="s">
        <v>739</v>
      </c>
      <c r="J13" s="18" t="s">
        <v>740</v>
      </c>
      <c r="K13" s="68" t="s">
        <v>79</v>
      </c>
      <c r="L13" s="20" t="s">
        <v>55</v>
      </c>
      <c r="M13" s="115" t="s">
        <v>736</v>
      </c>
      <c r="N13" s="110">
        <v>44286</v>
      </c>
      <c r="O13" s="110"/>
      <c r="P13" s="122" t="str">
        <f>TEXT(Table134[[#This Row],[Implementation Due Date]],"YYYY")</f>
        <v>2021</v>
      </c>
      <c r="Q13" s="96" t="str">
        <f>"Q"&amp;ROUNDUP(MONTH(Table134[[#This Row],[Implementation Due Date]])/3,0)</f>
        <v>Q1</v>
      </c>
      <c r="R13" s="98">
        <v>2022</v>
      </c>
      <c r="S13" s="95" t="s">
        <v>705</v>
      </c>
      <c r="T13" s="90"/>
      <c r="U13" s="125" t="s">
        <v>706</v>
      </c>
      <c r="V13" s="73" t="s">
        <v>707</v>
      </c>
      <c r="W13" s="15" t="s">
        <v>706</v>
      </c>
      <c r="X13" s="15"/>
      <c r="Y13" s="26" t="s">
        <v>741</v>
      </c>
      <c r="Z13" s="28"/>
    </row>
    <row r="14" spans="1:26" ht="28.8" x14ac:dyDescent="0.3">
      <c r="A14" s="15">
        <f t="shared" si="0"/>
        <v>11</v>
      </c>
      <c r="B14" s="15" t="s">
        <v>699</v>
      </c>
      <c r="C14" s="15" t="s">
        <v>699</v>
      </c>
      <c r="D14" s="15">
        <v>2020</v>
      </c>
      <c r="E14" s="15"/>
      <c r="F14" s="15" t="s">
        <v>731</v>
      </c>
      <c r="G14" s="16" t="s">
        <v>738</v>
      </c>
      <c r="H14" s="101" t="s">
        <v>742</v>
      </c>
      <c r="I14" s="62" t="s">
        <v>742</v>
      </c>
      <c r="J14" s="18" t="s">
        <v>743</v>
      </c>
      <c r="K14" s="67" t="s">
        <v>50</v>
      </c>
      <c r="L14" s="20" t="s">
        <v>26</v>
      </c>
      <c r="M14" s="115" t="s">
        <v>736</v>
      </c>
      <c r="N14" s="110">
        <v>44286</v>
      </c>
      <c r="O14" s="110"/>
      <c r="P14" s="122" t="str">
        <f>TEXT(Table134[[#This Row],[Implementation Due Date]],"YYYY")</f>
        <v>2021</v>
      </c>
      <c r="Q14" s="96" t="str">
        <f>"Q"&amp;ROUNDUP(MONTH(Table134[[#This Row],[Implementation Due Date]])/3,0)</f>
        <v>Q1</v>
      </c>
      <c r="R14" s="98">
        <v>2022</v>
      </c>
      <c r="S14" s="95" t="s">
        <v>705</v>
      </c>
      <c r="T14" s="89"/>
      <c r="U14" s="125" t="s">
        <v>706</v>
      </c>
      <c r="V14" s="73" t="s">
        <v>707</v>
      </c>
      <c r="W14" s="15" t="s">
        <v>706</v>
      </c>
      <c r="X14" s="15"/>
      <c r="Y14" s="26" t="s">
        <v>744</v>
      </c>
      <c r="Z14" s="28"/>
    </row>
    <row r="15" spans="1:26" ht="55.2" x14ac:dyDescent="0.3">
      <c r="A15" s="15">
        <f t="shared" si="0"/>
        <v>12</v>
      </c>
      <c r="B15" s="15" t="s">
        <v>699</v>
      </c>
      <c r="C15" s="15" t="s">
        <v>699</v>
      </c>
      <c r="D15" s="15">
        <v>2020</v>
      </c>
      <c r="E15" s="15"/>
      <c r="F15" s="15" t="s">
        <v>731</v>
      </c>
      <c r="G15" s="16" t="s">
        <v>738</v>
      </c>
      <c r="H15" s="101" t="s">
        <v>745</v>
      </c>
      <c r="I15" s="62" t="s">
        <v>745</v>
      </c>
      <c r="J15" s="18" t="s">
        <v>746</v>
      </c>
      <c r="K15" s="68" t="s">
        <v>79</v>
      </c>
      <c r="L15" s="19" t="s">
        <v>55</v>
      </c>
      <c r="M15" s="115" t="s">
        <v>736</v>
      </c>
      <c r="N15" s="110">
        <v>44316</v>
      </c>
      <c r="O15" s="110"/>
      <c r="P15" s="122" t="str">
        <f>TEXT(Table134[[#This Row],[Implementation Due Date]],"YYYY")</f>
        <v>2021</v>
      </c>
      <c r="Q15" s="96" t="str">
        <f>"Q"&amp;ROUNDUP(MONTH(Table134[[#This Row],[Implementation Due Date]])/3,0)</f>
        <v>Q2</v>
      </c>
      <c r="R15" s="99">
        <v>2021</v>
      </c>
      <c r="S15" s="95" t="s">
        <v>705</v>
      </c>
      <c r="T15" s="90"/>
      <c r="U15" s="125" t="s">
        <v>706</v>
      </c>
      <c r="V15" s="73" t="s">
        <v>707</v>
      </c>
      <c r="W15" s="15" t="s">
        <v>706</v>
      </c>
      <c r="X15" s="15"/>
      <c r="Y15" s="26" t="s">
        <v>747</v>
      </c>
      <c r="Z15" s="28"/>
    </row>
    <row r="16" spans="1:26" ht="41.4" x14ac:dyDescent="0.3">
      <c r="A16" s="15">
        <f t="shared" si="0"/>
        <v>13</v>
      </c>
      <c r="B16" s="15" t="s">
        <v>699</v>
      </c>
      <c r="C16" s="15" t="s">
        <v>699</v>
      </c>
      <c r="D16" s="15">
        <v>2020</v>
      </c>
      <c r="E16" s="15"/>
      <c r="F16" s="15" t="s">
        <v>731</v>
      </c>
      <c r="G16" s="16" t="s">
        <v>738</v>
      </c>
      <c r="H16" s="101" t="s">
        <v>748</v>
      </c>
      <c r="I16" s="62" t="s">
        <v>748</v>
      </c>
      <c r="J16" s="18" t="s">
        <v>749</v>
      </c>
      <c r="K16" s="68" t="s">
        <v>79</v>
      </c>
      <c r="L16" s="19" t="s">
        <v>55</v>
      </c>
      <c r="M16" s="115" t="s">
        <v>736</v>
      </c>
      <c r="N16" s="110">
        <v>44227</v>
      </c>
      <c r="O16" s="110"/>
      <c r="P16" s="122" t="str">
        <f>TEXT(Table134[[#This Row],[Implementation Due Date]],"YYYY")</f>
        <v>2021</v>
      </c>
      <c r="Q16" s="96" t="str">
        <f>"Q"&amp;ROUNDUP(MONTH(Table134[[#This Row],[Implementation Due Date]])/3,0)</f>
        <v>Q1</v>
      </c>
      <c r="R16" s="99">
        <v>2021</v>
      </c>
      <c r="S16" s="95" t="s">
        <v>705</v>
      </c>
      <c r="T16" s="90"/>
      <c r="U16" s="125" t="s">
        <v>706</v>
      </c>
      <c r="V16" s="73" t="s">
        <v>707</v>
      </c>
      <c r="W16" s="15" t="s">
        <v>706</v>
      </c>
      <c r="X16" s="15"/>
      <c r="Y16" s="26" t="s">
        <v>750</v>
      </c>
      <c r="Z16" s="28"/>
    </row>
    <row r="17" spans="1:26" ht="43.2" x14ac:dyDescent="0.3">
      <c r="A17" s="15">
        <f t="shared" si="0"/>
        <v>14</v>
      </c>
      <c r="B17" s="15" t="s">
        <v>699</v>
      </c>
      <c r="C17" s="15" t="s">
        <v>699</v>
      </c>
      <c r="D17" s="15">
        <v>2020</v>
      </c>
      <c r="E17" s="15"/>
      <c r="F17" s="15" t="s">
        <v>731</v>
      </c>
      <c r="G17" s="16" t="s">
        <v>738</v>
      </c>
      <c r="H17" s="101" t="s">
        <v>751</v>
      </c>
      <c r="I17" s="62" t="s">
        <v>751</v>
      </c>
      <c r="J17" s="18" t="s">
        <v>752</v>
      </c>
      <c r="K17" s="68" t="s">
        <v>79</v>
      </c>
      <c r="L17" s="19" t="s">
        <v>55</v>
      </c>
      <c r="M17" s="115" t="s">
        <v>736</v>
      </c>
      <c r="N17" s="110">
        <v>44255</v>
      </c>
      <c r="O17" s="110"/>
      <c r="P17" s="122" t="str">
        <f>TEXT(Table134[[#This Row],[Implementation Due Date]],"YYYY")</f>
        <v>2021</v>
      </c>
      <c r="Q17" s="96" t="str">
        <f>"Q"&amp;ROUNDUP(MONTH(Table134[[#This Row],[Implementation Due Date]])/3,0)</f>
        <v>Q1</v>
      </c>
      <c r="R17" s="99">
        <v>2021</v>
      </c>
      <c r="S17" s="95" t="s">
        <v>705</v>
      </c>
      <c r="T17" s="90"/>
      <c r="U17" s="125" t="s">
        <v>706</v>
      </c>
      <c r="V17" s="73" t="s">
        <v>707</v>
      </c>
      <c r="W17" s="15" t="s">
        <v>706</v>
      </c>
      <c r="X17" s="15"/>
      <c r="Y17" s="26" t="s">
        <v>753</v>
      </c>
      <c r="Z17" s="28"/>
    </row>
    <row r="18" spans="1:26" ht="41.4" x14ac:dyDescent="0.3">
      <c r="A18" s="15">
        <f t="shared" si="0"/>
        <v>15</v>
      </c>
      <c r="B18" s="15" t="s">
        <v>699</v>
      </c>
      <c r="C18" s="15" t="s">
        <v>699</v>
      </c>
      <c r="D18" s="15">
        <v>2020</v>
      </c>
      <c r="E18" s="15"/>
      <c r="F18" s="15" t="s">
        <v>731</v>
      </c>
      <c r="G18" s="16" t="s">
        <v>738</v>
      </c>
      <c r="H18" s="101" t="s">
        <v>754</v>
      </c>
      <c r="I18" s="62" t="s">
        <v>754</v>
      </c>
      <c r="J18" s="25" t="s">
        <v>755</v>
      </c>
      <c r="K18" s="67" t="s">
        <v>50</v>
      </c>
      <c r="L18" s="20" t="s">
        <v>55</v>
      </c>
      <c r="M18" s="115" t="s">
        <v>736</v>
      </c>
      <c r="N18" s="110">
        <v>44255</v>
      </c>
      <c r="O18" s="110"/>
      <c r="P18" s="122" t="str">
        <f>TEXT(Table134[[#This Row],[Implementation Due Date]],"YYYY")</f>
        <v>2021</v>
      </c>
      <c r="Q18" s="96" t="str">
        <f>"Q"&amp;ROUNDUP(MONTH(Table134[[#This Row],[Implementation Due Date]])/3,0)</f>
        <v>Q1</v>
      </c>
      <c r="R18" s="99">
        <v>2021</v>
      </c>
      <c r="S18" s="95" t="s">
        <v>705</v>
      </c>
      <c r="T18" s="89"/>
      <c r="U18" s="125" t="s">
        <v>706</v>
      </c>
      <c r="V18" s="73" t="s">
        <v>707</v>
      </c>
      <c r="W18" s="15" t="s">
        <v>706</v>
      </c>
      <c r="X18" s="15"/>
      <c r="Y18" s="26" t="s">
        <v>756</v>
      </c>
      <c r="Z18" s="28"/>
    </row>
    <row r="19" spans="1:26" ht="28.8" x14ac:dyDescent="0.3">
      <c r="A19" s="15">
        <f t="shared" si="0"/>
        <v>16</v>
      </c>
      <c r="B19" s="15" t="s">
        <v>699</v>
      </c>
      <c r="C19" s="15" t="s">
        <v>699</v>
      </c>
      <c r="D19" s="15">
        <v>2020</v>
      </c>
      <c r="E19" s="15"/>
      <c r="F19" s="15" t="s">
        <v>731</v>
      </c>
      <c r="G19" s="16" t="s">
        <v>738</v>
      </c>
      <c r="H19" s="101" t="s">
        <v>757</v>
      </c>
      <c r="I19" s="62" t="s">
        <v>757</v>
      </c>
      <c r="J19" s="25" t="s">
        <v>758</v>
      </c>
      <c r="K19" s="68" t="s">
        <v>79</v>
      </c>
      <c r="L19" s="20" t="s">
        <v>55</v>
      </c>
      <c r="M19" s="115" t="s">
        <v>736</v>
      </c>
      <c r="N19" s="110">
        <v>44255</v>
      </c>
      <c r="O19" s="110"/>
      <c r="P19" s="122" t="str">
        <f>TEXT(Table134[[#This Row],[Implementation Due Date]],"YYYY")</f>
        <v>2021</v>
      </c>
      <c r="Q19" s="96" t="str">
        <f>"Q"&amp;ROUNDUP(MONTH(Table134[[#This Row],[Implementation Due Date]])/3,0)</f>
        <v>Q1</v>
      </c>
      <c r="R19" s="98">
        <v>2024</v>
      </c>
      <c r="S19" s="95" t="s">
        <v>711</v>
      </c>
      <c r="T19" s="89"/>
      <c r="U19" s="125" t="s">
        <v>706</v>
      </c>
      <c r="V19" s="73" t="s">
        <v>707</v>
      </c>
      <c r="W19" s="15" t="s">
        <v>706</v>
      </c>
      <c r="X19" s="15"/>
      <c r="Y19" s="26" t="s">
        <v>759</v>
      </c>
      <c r="Z19" s="28"/>
    </row>
    <row r="20" spans="1:26" ht="41.4" x14ac:dyDescent="0.3">
      <c r="A20" s="15">
        <f t="shared" si="0"/>
        <v>17</v>
      </c>
      <c r="B20" s="15" t="s">
        <v>699</v>
      </c>
      <c r="C20" s="15" t="s">
        <v>699</v>
      </c>
      <c r="D20" s="15">
        <v>2020</v>
      </c>
      <c r="E20" s="15"/>
      <c r="F20" s="15" t="s">
        <v>700</v>
      </c>
      <c r="G20" s="16" t="s">
        <v>738</v>
      </c>
      <c r="H20" s="102" t="s">
        <v>760</v>
      </c>
      <c r="I20" s="63" t="s">
        <v>760</v>
      </c>
      <c r="J20" s="25" t="s">
        <v>740</v>
      </c>
      <c r="K20" s="68" t="s">
        <v>79</v>
      </c>
      <c r="L20" s="20" t="s">
        <v>55</v>
      </c>
      <c r="M20" s="115" t="s">
        <v>704</v>
      </c>
      <c r="N20" s="110">
        <v>44255</v>
      </c>
      <c r="O20" s="110"/>
      <c r="P20" s="122" t="str">
        <f>TEXT(Table134[[#This Row],[Implementation Due Date]],"YYYY")</f>
        <v>2021</v>
      </c>
      <c r="Q20" s="96" t="str">
        <f>"Q"&amp;ROUNDUP(MONTH(Table134[[#This Row],[Implementation Due Date]])/3,0)</f>
        <v>Q1</v>
      </c>
      <c r="R20" s="98">
        <v>2022</v>
      </c>
      <c r="S20" s="95" t="s">
        <v>705</v>
      </c>
      <c r="T20" s="90"/>
      <c r="U20" s="125" t="s">
        <v>706</v>
      </c>
      <c r="V20" s="73" t="s">
        <v>707</v>
      </c>
      <c r="W20" s="15" t="s">
        <v>706</v>
      </c>
      <c r="X20" s="15"/>
      <c r="Y20" s="26" t="s">
        <v>761</v>
      </c>
      <c r="Z20" s="28"/>
    </row>
    <row r="21" spans="1:26" ht="41.4" x14ac:dyDescent="0.3">
      <c r="A21" s="15">
        <f t="shared" si="0"/>
        <v>18</v>
      </c>
      <c r="B21" s="15" t="s">
        <v>699</v>
      </c>
      <c r="C21" s="15" t="s">
        <v>699</v>
      </c>
      <c r="D21" s="15">
        <v>2020</v>
      </c>
      <c r="E21" s="15"/>
      <c r="F21" s="15" t="s">
        <v>700</v>
      </c>
      <c r="G21" s="16" t="s">
        <v>738</v>
      </c>
      <c r="H21" s="102" t="s">
        <v>762</v>
      </c>
      <c r="I21" s="63" t="s">
        <v>762</v>
      </c>
      <c r="J21" s="31" t="s">
        <v>763</v>
      </c>
      <c r="K21" s="68" t="s">
        <v>79</v>
      </c>
      <c r="L21" s="20" t="s">
        <v>55</v>
      </c>
      <c r="M21" s="115" t="s">
        <v>704</v>
      </c>
      <c r="N21" s="110">
        <v>44255</v>
      </c>
      <c r="O21" s="110"/>
      <c r="P21" s="122" t="str">
        <f>TEXT(Table134[[#This Row],[Implementation Due Date]],"YYYY")</f>
        <v>2021</v>
      </c>
      <c r="Q21" s="96" t="str">
        <f>"Q"&amp;ROUNDUP(MONTH(Table134[[#This Row],[Implementation Due Date]])/3,0)</f>
        <v>Q1</v>
      </c>
      <c r="R21" s="99">
        <v>2021</v>
      </c>
      <c r="S21" s="95" t="s">
        <v>705</v>
      </c>
      <c r="T21" s="90"/>
      <c r="U21" s="125" t="s">
        <v>706</v>
      </c>
      <c r="V21" s="73" t="s">
        <v>707</v>
      </c>
      <c r="W21" s="15" t="s">
        <v>706</v>
      </c>
      <c r="X21" s="15"/>
      <c r="Y21" s="26" t="s">
        <v>764</v>
      </c>
      <c r="Z21" s="28"/>
    </row>
    <row r="22" spans="1:26" ht="55.2" x14ac:dyDescent="0.3">
      <c r="A22" s="15">
        <f t="shared" si="0"/>
        <v>19</v>
      </c>
      <c r="B22" s="15" t="s">
        <v>699</v>
      </c>
      <c r="C22" s="15" t="s">
        <v>699</v>
      </c>
      <c r="D22" s="15">
        <v>2020</v>
      </c>
      <c r="E22" s="15"/>
      <c r="F22" s="15" t="s">
        <v>700</v>
      </c>
      <c r="G22" s="16" t="s">
        <v>738</v>
      </c>
      <c r="H22" s="102" t="s">
        <v>765</v>
      </c>
      <c r="I22" s="63" t="s">
        <v>765</v>
      </c>
      <c r="J22" s="25" t="s">
        <v>766</v>
      </c>
      <c r="K22" s="67" t="s">
        <v>50</v>
      </c>
      <c r="L22" s="20" t="s">
        <v>55</v>
      </c>
      <c r="M22" s="115" t="s">
        <v>704</v>
      </c>
      <c r="N22" s="110">
        <v>44255</v>
      </c>
      <c r="O22" s="110"/>
      <c r="P22" s="122" t="str">
        <f>TEXT(Table134[[#This Row],[Implementation Due Date]],"YYYY")</f>
        <v>2021</v>
      </c>
      <c r="Q22" s="96" t="str">
        <f>"Q"&amp;ROUNDUP(MONTH(Table134[[#This Row],[Implementation Due Date]])/3,0)</f>
        <v>Q1</v>
      </c>
      <c r="R22" s="98">
        <v>2024</v>
      </c>
      <c r="S22" s="95" t="s">
        <v>711</v>
      </c>
      <c r="T22" s="90"/>
      <c r="U22" s="125" t="s">
        <v>706</v>
      </c>
      <c r="V22" s="73" t="s">
        <v>707</v>
      </c>
      <c r="W22" s="15" t="s">
        <v>706</v>
      </c>
      <c r="X22" s="15"/>
      <c r="Y22" s="26" t="s">
        <v>767</v>
      </c>
      <c r="Z22" s="28"/>
    </row>
    <row r="23" spans="1:26" ht="41.4" x14ac:dyDescent="0.3">
      <c r="A23" s="15">
        <f t="shared" si="0"/>
        <v>20</v>
      </c>
      <c r="B23" s="15" t="s">
        <v>699</v>
      </c>
      <c r="C23" s="15" t="s">
        <v>699</v>
      </c>
      <c r="D23" s="15">
        <v>2020</v>
      </c>
      <c r="E23" s="15"/>
      <c r="F23" s="15" t="s">
        <v>700</v>
      </c>
      <c r="G23" s="16" t="s">
        <v>738</v>
      </c>
      <c r="H23" s="102" t="s">
        <v>754</v>
      </c>
      <c r="I23" s="63" t="s">
        <v>754</v>
      </c>
      <c r="J23" s="25" t="s">
        <v>755</v>
      </c>
      <c r="K23" s="67" t="s">
        <v>50</v>
      </c>
      <c r="L23" s="20" t="s">
        <v>55</v>
      </c>
      <c r="M23" s="115" t="s">
        <v>704</v>
      </c>
      <c r="N23" s="110">
        <v>44255</v>
      </c>
      <c r="O23" s="110"/>
      <c r="P23" s="122" t="str">
        <f>TEXT(Table134[[#This Row],[Implementation Due Date]],"YYYY")</f>
        <v>2021</v>
      </c>
      <c r="Q23" s="96" t="str">
        <f>"Q"&amp;ROUNDUP(MONTH(Table134[[#This Row],[Implementation Due Date]])/3,0)</f>
        <v>Q1</v>
      </c>
      <c r="R23" s="99">
        <v>2021</v>
      </c>
      <c r="S23" s="95" t="s">
        <v>705</v>
      </c>
      <c r="T23" s="89"/>
      <c r="U23" s="125" t="s">
        <v>706</v>
      </c>
      <c r="V23" s="73" t="s">
        <v>707</v>
      </c>
      <c r="W23" s="15" t="s">
        <v>706</v>
      </c>
      <c r="X23" s="15"/>
      <c r="Y23" s="26" t="s">
        <v>768</v>
      </c>
      <c r="Z23" s="28"/>
    </row>
    <row r="24" spans="1:26" ht="55.2" x14ac:dyDescent="0.3">
      <c r="A24" s="15">
        <f t="shared" si="0"/>
        <v>21</v>
      </c>
      <c r="B24" s="15" t="s">
        <v>699</v>
      </c>
      <c r="C24" s="15" t="s">
        <v>699</v>
      </c>
      <c r="D24" s="15">
        <v>2020</v>
      </c>
      <c r="E24" s="15"/>
      <c r="F24" s="15" t="s">
        <v>700</v>
      </c>
      <c r="G24" s="16" t="s">
        <v>738</v>
      </c>
      <c r="H24" s="102" t="s">
        <v>769</v>
      </c>
      <c r="I24" s="63" t="s">
        <v>769</v>
      </c>
      <c r="J24" s="25" t="s">
        <v>770</v>
      </c>
      <c r="K24" s="67" t="s">
        <v>50</v>
      </c>
      <c r="L24" s="20" t="s">
        <v>55</v>
      </c>
      <c r="M24" s="115" t="s">
        <v>704</v>
      </c>
      <c r="N24" s="110">
        <v>44255</v>
      </c>
      <c r="O24" s="110"/>
      <c r="P24" s="122" t="str">
        <f>TEXT(Table134[[#This Row],[Implementation Due Date]],"YYYY")</f>
        <v>2021</v>
      </c>
      <c r="Q24" s="96" t="str">
        <f>"Q"&amp;ROUNDUP(MONTH(Table134[[#This Row],[Implementation Due Date]])/3,0)</f>
        <v>Q1</v>
      </c>
      <c r="R24" s="98">
        <v>2024</v>
      </c>
      <c r="S24" s="95" t="s">
        <v>711</v>
      </c>
      <c r="T24" s="90"/>
      <c r="U24" s="125" t="s">
        <v>706</v>
      </c>
      <c r="V24" s="73" t="s">
        <v>707</v>
      </c>
      <c r="W24" s="15" t="s">
        <v>706</v>
      </c>
      <c r="X24" s="15"/>
      <c r="Y24" s="26" t="s">
        <v>771</v>
      </c>
      <c r="Z24" s="25"/>
    </row>
    <row r="25" spans="1:26" ht="55.2" x14ac:dyDescent="0.3">
      <c r="A25" s="15">
        <f t="shared" si="0"/>
        <v>22</v>
      </c>
      <c r="B25" s="15" t="s">
        <v>699</v>
      </c>
      <c r="C25" s="15" t="s">
        <v>699</v>
      </c>
      <c r="D25" s="15">
        <v>2020</v>
      </c>
      <c r="E25" s="15"/>
      <c r="F25" s="15" t="s">
        <v>700</v>
      </c>
      <c r="G25" s="16" t="s">
        <v>738</v>
      </c>
      <c r="H25" s="102" t="s">
        <v>772</v>
      </c>
      <c r="I25" s="63" t="s">
        <v>772</v>
      </c>
      <c r="J25" s="25" t="s">
        <v>773</v>
      </c>
      <c r="K25" s="67" t="s">
        <v>50</v>
      </c>
      <c r="L25" s="20" t="s">
        <v>55</v>
      </c>
      <c r="M25" s="115" t="s">
        <v>704</v>
      </c>
      <c r="N25" s="110">
        <v>44255</v>
      </c>
      <c r="O25" s="110"/>
      <c r="P25" s="122" t="str">
        <f>TEXT(Table134[[#This Row],[Implementation Due Date]],"YYYY")</f>
        <v>2021</v>
      </c>
      <c r="Q25" s="96" t="str">
        <f>"Q"&amp;ROUNDUP(MONTH(Table134[[#This Row],[Implementation Due Date]])/3,0)</f>
        <v>Q1</v>
      </c>
      <c r="R25" s="98">
        <v>2022</v>
      </c>
      <c r="S25" s="95" t="s">
        <v>705</v>
      </c>
      <c r="T25" s="89"/>
      <c r="U25" s="125" t="s">
        <v>706</v>
      </c>
      <c r="V25" s="73" t="s">
        <v>707</v>
      </c>
      <c r="W25" s="15" t="s">
        <v>706</v>
      </c>
      <c r="X25" s="15"/>
      <c r="Y25" s="26" t="s">
        <v>774</v>
      </c>
      <c r="Z25" s="31"/>
    </row>
    <row r="26" spans="1:26" ht="82.8" x14ac:dyDescent="0.3">
      <c r="A26" s="15">
        <f t="shared" si="0"/>
        <v>23</v>
      </c>
      <c r="B26" s="15" t="s">
        <v>699</v>
      </c>
      <c r="C26" s="15" t="s">
        <v>699</v>
      </c>
      <c r="D26" s="15">
        <v>2020</v>
      </c>
      <c r="E26" s="15"/>
      <c r="F26" s="15" t="s">
        <v>700</v>
      </c>
      <c r="G26" s="16" t="s">
        <v>738</v>
      </c>
      <c r="H26" s="102" t="s">
        <v>775</v>
      </c>
      <c r="I26" s="63" t="s">
        <v>775</v>
      </c>
      <c r="J26" s="25" t="s">
        <v>776</v>
      </c>
      <c r="K26" s="68" t="s">
        <v>79</v>
      </c>
      <c r="L26" s="20" t="s">
        <v>55</v>
      </c>
      <c r="M26" s="115" t="s">
        <v>704</v>
      </c>
      <c r="N26" s="110">
        <v>44255</v>
      </c>
      <c r="O26" s="110"/>
      <c r="P26" s="122" t="str">
        <f>TEXT(Table134[[#This Row],[Implementation Due Date]],"YYYY")</f>
        <v>2021</v>
      </c>
      <c r="Q26" s="96" t="str">
        <f>"Q"&amp;ROUNDUP(MONTH(Table134[[#This Row],[Implementation Due Date]])/3,0)</f>
        <v>Q1</v>
      </c>
      <c r="R26" s="99">
        <v>2021</v>
      </c>
      <c r="S26" s="95" t="s">
        <v>705</v>
      </c>
      <c r="T26" s="89"/>
      <c r="U26" s="125" t="s">
        <v>706</v>
      </c>
      <c r="V26" s="73" t="s">
        <v>707</v>
      </c>
      <c r="W26" s="15" t="s">
        <v>706</v>
      </c>
      <c r="X26" s="15"/>
      <c r="Y26" s="26" t="s">
        <v>777</v>
      </c>
      <c r="Z26" s="25"/>
    </row>
    <row r="27" spans="1:26" ht="55.2" x14ac:dyDescent="0.3">
      <c r="A27" s="15">
        <f t="shared" si="0"/>
        <v>24</v>
      </c>
      <c r="B27" s="15" t="s">
        <v>699</v>
      </c>
      <c r="C27" s="15" t="s">
        <v>699</v>
      </c>
      <c r="D27" s="15">
        <v>2020</v>
      </c>
      <c r="E27" s="15"/>
      <c r="F27" s="15" t="s">
        <v>778</v>
      </c>
      <c r="G27" s="16" t="s">
        <v>738</v>
      </c>
      <c r="H27" s="102" t="s">
        <v>779</v>
      </c>
      <c r="I27" s="63" t="s">
        <v>779</v>
      </c>
      <c r="J27" s="31" t="s">
        <v>780</v>
      </c>
      <c r="K27" s="67" t="s">
        <v>50</v>
      </c>
      <c r="L27" s="20" t="s">
        <v>55</v>
      </c>
      <c r="M27" s="115" t="s">
        <v>781</v>
      </c>
      <c r="N27" s="110">
        <v>44255</v>
      </c>
      <c r="O27" s="110"/>
      <c r="P27" s="122" t="str">
        <f>TEXT(Table134[[#This Row],[Implementation Due Date]],"YYYY")</f>
        <v>2021</v>
      </c>
      <c r="Q27" s="96" t="str">
        <f>"Q"&amp;ROUNDUP(MONTH(Table134[[#This Row],[Implementation Due Date]])/3,0)</f>
        <v>Q1</v>
      </c>
      <c r="R27" s="99">
        <v>2021</v>
      </c>
      <c r="S27" s="95" t="s">
        <v>705</v>
      </c>
      <c r="T27" s="90"/>
      <c r="U27" s="125" t="s">
        <v>706</v>
      </c>
      <c r="V27" s="73" t="s">
        <v>707</v>
      </c>
      <c r="W27" s="15" t="s">
        <v>706</v>
      </c>
      <c r="X27" s="15"/>
      <c r="Y27" s="26" t="s">
        <v>782</v>
      </c>
      <c r="Z27" s="25"/>
    </row>
    <row r="28" spans="1:26" ht="55.2" x14ac:dyDescent="0.3">
      <c r="A28" s="15">
        <f t="shared" si="0"/>
        <v>25</v>
      </c>
      <c r="B28" s="15" t="s">
        <v>699</v>
      </c>
      <c r="C28" s="15" t="s">
        <v>699</v>
      </c>
      <c r="D28" s="15">
        <v>2020</v>
      </c>
      <c r="E28" s="15"/>
      <c r="F28" s="15" t="s">
        <v>778</v>
      </c>
      <c r="G28" s="16" t="s">
        <v>738</v>
      </c>
      <c r="H28" s="102" t="s">
        <v>783</v>
      </c>
      <c r="I28" s="63" t="s">
        <v>783</v>
      </c>
      <c r="J28" s="31" t="s">
        <v>740</v>
      </c>
      <c r="K28" s="68" t="s">
        <v>79</v>
      </c>
      <c r="L28" s="20" t="s">
        <v>26</v>
      </c>
      <c r="M28" s="115" t="s">
        <v>781</v>
      </c>
      <c r="N28" s="110">
        <v>44316</v>
      </c>
      <c r="O28" s="110"/>
      <c r="P28" s="122" t="str">
        <f>TEXT(Table134[[#This Row],[Implementation Due Date]],"YYYY")</f>
        <v>2021</v>
      </c>
      <c r="Q28" s="96" t="str">
        <f>"Q"&amp;ROUNDUP(MONTH(Table134[[#This Row],[Implementation Due Date]])/3,0)</f>
        <v>Q2</v>
      </c>
      <c r="R28" s="98">
        <v>2022</v>
      </c>
      <c r="S28" s="95" t="s">
        <v>705</v>
      </c>
      <c r="T28" s="90"/>
      <c r="U28" s="125" t="s">
        <v>706</v>
      </c>
      <c r="V28" s="73" t="s">
        <v>707</v>
      </c>
      <c r="W28" s="15" t="s">
        <v>706</v>
      </c>
      <c r="X28" s="15"/>
      <c r="Y28" s="26" t="s">
        <v>784</v>
      </c>
      <c r="Z28" s="25"/>
    </row>
    <row r="29" spans="1:26" ht="41.4" x14ac:dyDescent="0.3">
      <c r="A29" s="15">
        <f t="shared" si="0"/>
        <v>26</v>
      </c>
      <c r="B29" s="15" t="s">
        <v>699</v>
      </c>
      <c r="C29" s="15" t="s">
        <v>699</v>
      </c>
      <c r="D29" s="15">
        <v>2020</v>
      </c>
      <c r="E29" s="15"/>
      <c r="F29" s="15" t="s">
        <v>778</v>
      </c>
      <c r="G29" s="16" t="s">
        <v>738</v>
      </c>
      <c r="H29" s="102" t="s">
        <v>785</v>
      </c>
      <c r="I29" s="63" t="s">
        <v>785</v>
      </c>
      <c r="J29" s="31" t="s">
        <v>786</v>
      </c>
      <c r="K29" s="68" t="s">
        <v>79</v>
      </c>
      <c r="L29" s="20" t="s">
        <v>55</v>
      </c>
      <c r="M29" s="115" t="s">
        <v>781</v>
      </c>
      <c r="N29" s="110">
        <v>44280</v>
      </c>
      <c r="O29" s="110"/>
      <c r="P29" s="122" t="str">
        <f>TEXT(Table134[[#This Row],[Implementation Due Date]],"YYYY")</f>
        <v>2021</v>
      </c>
      <c r="Q29" s="96" t="str">
        <f>"Q"&amp;ROUNDUP(MONTH(Table134[[#This Row],[Implementation Due Date]])/3,0)</f>
        <v>Q1</v>
      </c>
      <c r="R29" s="99">
        <v>2021</v>
      </c>
      <c r="S29" s="95" t="s">
        <v>705</v>
      </c>
      <c r="T29" s="90"/>
      <c r="U29" s="125" t="s">
        <v>706</v>
      </c>
      <c r="V29" s="73" t="s">
        <v>707</v>
      </c>
      <c r="W29" s="15" t="s">
        <v>706</v>
      </c>
      <c r="X29" s="15"/>
      <c r="Y29" s="26" t="s">
        <v>764</v>
      </c>
      <c r="Z29" s="25"/>
    </row>
    <row r="30" spans="1:26" ht="55.2" x14ac:dyDescent="0.3">
      <c r="A30" s="15">
        <f t="shared" si="0"/>
        <v>27</v>
      </c>
      <c r="B30" s="15" t="s">
        <v>699</v>
      </c>
      <c r="C30" s="15" t="s">
        <v>699</v>
      </c>
      <c r="D30" s="15">
        <v>2020</v>
      </c>
      <c r="E30" s="15"/>
      <c r="F30" s="15" t="s">
        <v>778</v>
      </c>
      <c r="G30" s="16" t="s">
        <v>738</v>
      </c>
      <c r="H30" s="102" t="s">
        <v>742</v>
      </c>
      <c r="I30" s="63" t="s">
        <v>742</v>
      </c>
      <c r="J30" s="31" t="s">
        <v>787</v>
      </c>
      <c r="K30" s="67" t="s">
        <v>50</v>
      </c>
      <c r="L30" s="20" t="s">
        <v>26</v>
      </c>
      <c r="M30" s="115" t="s">
        <v>781</v>
      </c>
      <c r="N30" s="110">
        <v>44316</v>
      </c>
      <c r="O30" s="110"/>
      <c r="P30" s="122" t="str">
        <f>TEXT(Table134[[#This Row],[Implementation Due Date]],"YYYY")</f>
        <v>2021</v>
      </c>
      <c r="Q30" s="96" t="str">
        <f>"Q"&amp;ROUNDUP(MONTH(Table134[[#This Row],[Implementation Due Date]])/3,0)</f>
        <v>Q2</v>
      </c>
      <c r="R30" s="98">
        <v>2022</v>
      </c>
      <c r="S30" s="95" t="s">
        <v>705</v>
      </c>
      <c r="T30" s="89"/>
      <c r="U30" s="125" t="s">
        <v>706</v>
      </c>
      <c r="V30" s="73" t="s">
        <v>707</v>
      </c>
      <c r="W30" s="15" t="s">
        <v>706</v>
      </c>
      <c r="X30" s="15"/>
      <c r="Y30" s="26" t="s">
        <v>788</v>
      </c>
      <c r="Z30" s="25"/>
    </row>
    <row r="31" spans="1:26" ht="41.4" x14ac:dyDescent="0.3">
      <c r="A31" s="15">
        <f t="shared" si="0"/>
        <v>28</v>
      </c>
      <c r="B31" s="15" t="s">
        <v>699</v>
      </c>
      <c r="C31" s="15" t="s">
        <v>699</v>
      </c>
      <c r="D31" s="15">
        <v>2020</v>
      </c>
      <c r="E31" s="15"/>
      <c r="F31" s="15" t="s">
        <v>778</v>
      </c>
      <c r="G31" s="16" t="s">
        <v>738</v>
      </c>
      <c r="H31" s="102" t="s">
        <v>754</v>
      </c>
      <c r="I31" s="63" t="s">
        <v>754</v>
      </c>
      <c r="J31" s="25" t="s">
        <v>755</v>
      </c>
      <c r="K31" s="67" t="s">
        <v>50</v>
      </c>
      <c r="L31" s="20" t="s">
        <v>55</v>
      </c>
      <c r="M31" s="115" t="s">
        <v>781</v>
      </c>
      <c r="N31" s="110">
        <v>44316</v>
      </c>
      <c r="O31" s="110"/>
      <c r="P31" s="122" t="str">
        <f>TEXT(Table134[[#This Row],[Implementation Due Date]],"YYYY")</f>
        <v>2021</v>
      </c>
      <c r="Q31" s="96" t="str">
        <f>"Q"&amp;ROUNDUP(MONTH(Table134[[#This Row],[Implementation Due Date]])/3,0)</f>
        <v>Q2</v>
      </c>
      <c r="R31" s="99">
        <v>2021</v>
      </c>
      <c r="S31" s="95" t="s">
        <v>705</v>
      </c>
      <c r="T31" s="90"/>
      <c r="U31" s="125" t="s">
        <v>706</v>
      </c>
      <c r="V31" s="73" t="s">
        <v>707</v>
      </c>
      <c r="W31" s="15" t="s">
        <v>706</v>
      </c>
      <c r="X31" s="15"/>
      <c r="Y31" s="26" t="s">
        <v>789</v>
      </c>
      <c r="Z31" s="25"/>
    </row>
    <row r="32" spans="1:26" ht="41.4" x14ac:dyDescent="0.3">
      <c r="A32" s="15">
        <f t="shared" si="0"/>
        <v>29</v>
      </c>
      <c r="B32" s="15" t="s">
        <v>699</v>
      </c>
      <c r="C32" s="15" t="s">
        <v>699</v>
      </c>
      <c r="D32" s="15">
        <v>2020</v>
      </c>
      <c r="E32" s="15"/>
      <c r="F32" s="15" t="s">
        <v>778</v>
      </c>
      <c r="G32" s="16" t="s">
        <v>738</v>
      </c>
      <c r="H32" s="102" t="s">
        <v>790</v>
      </c>
      <c r="I32" s="63" t="s">
        <v>790</v>
      </c>
      <c r="J32" s="31" t="s">
        <v>791</v>
      </c>
      <c r="K32" s="68" t="s">
        <v>79</v>
      </c>
      <c r="L32" s="20" t="s">
        <v>55</v>
      </c>
      <c r="M32" s="115" t="s">
        <v>781</v>
      </c>
      <c r="N32" s="110">
        <v>44280</v>
      </c>
      <c r="O32" s="110"/>
      <c r="P32" s="122" t="str">
        <f>TEXT(Table134[[#This Row],[Implementation Due Date]],"YYYY")</f>
        <v>2021</v>
      </c>
      <c r="Q32" s="96" t="str">
        <f>"Q"&amp;ROUNDUP(MONTH(Table134[[#This Row],[Implementation Due Date]])/3,0)</f>
        <v>Q1</v>
      </c>
      <c r="R32" s="99">
        <v>2021</v>
      </c>
      <c r="S32" s="95" t="s">
        <v>705</v>
      </c>
      <c r="T32" s="90"/>
      <c r="U32" s="125" t="s">
        <v>706</v>
      </c>
      <c r="V32" s="73" t="s">
        <v>707</v>
      </c>
      <c r="W32" s="15" t="s">
        <v>706</v>
      </c>
      <c r="X32" s="15"/>
      <c r="Y32" s="26" t="s">
        <v>792</v>
      </c>
      <c r="Z32" s="25"/>
    </row>
    <row r="33" spans="1:26" ht="100.8" x14ac:dyDescent="0.3">
      <c r="A33" s="15">
        <f t="shared" si="0"/>
        <v>30</v>
      </c>
      <c r="B33" s="15" t="s">
        <v>699</v>
      </c>
      <c r="C33" s="15" t="s">
        <v>699</v>
      </c>
      <c r="D33" s="15">
        <v>2021</v>
      </c>
      <c r="E33" s="15"/>
      <c r="F33" s="15" t="s">
        <v>793</v>
      </c>
      <c r="G33" s="16" t="s">
        <v>794</v>
      </c>
      <c r="H33" s="102" t="s">
        <v>795</v>
      </c>
      <c r="I33" s="63" t="s">
        <v>796</v>
      </c>
      <c r="J33" s="25" t="s">
        <v>797</v>
      </c>
      <c r="K33" s="67" t="s">
        <v>50</v>
      </c>
      <c r="L33" s="20" t="s">
        <v>26</v>
      </c>
      <c r="M33" s="115" t="s">
        <v>798</v>
      </c>
      <c r="N33" s="110">
        <v>44439</v>
      </c>
      <c r="O33" s="110"/>
      <c r="P33" s="122" t="str">
        <f>TEXT(Table134[[#This Row],[Implementation Due Date]],"YYYY")</f>
        <v>2021</v>
      </c>
      <c r="Q33" s="96" t="str">
        <f>"Q"&amp;ROUNDUP(MONTH(Table134[[#This Row],[Implementation Due Date]])/3,0)</f>
        <v>Q3</v>
      </c>
      <c r="R33" s="98">
        <v>2025</v>
      </c>
      <c r="S33" s="95" t="s">
        <v>799</v>
      </c>
      <c r="T33" s="89"/>
      <c r="U33" s="125" t="s">
        <v>706</v>
      </c>
      <c r="V33" s="73" t="s">
        <v>707</v>
      </c>
      <c r="W33" s="15" t="s">
        <v>706</v>
      </c>
      <c r="X33" s="15"/>
      <c r="Y33" s="26" t="s">
        <v>800</v>
      </c>
      <c r="Z33" s="25"/>
    </row>
    <row r="34" spans="1:26" ht="158.4" x14ac:dyDescent="0.3">
      <c r="A34" s="15">
        <f t="shared" si="0"/>
        <v>31</v>
      </c>
      <c r="B34" s="15" t="s">
        <v>699</v>
      </c>
      <c r="C34" s="15" t="s">
        <v>699</v>
      </c>
      <c r="D34" s="15">
        <v>2021</v>
      </c>
      <c r="E34" s="15"/>
      <c r="F34" s="15" t="s">
        <v>793</v>
      </c>
      <c r="G34" s="16" t="s">
        <v>794</v>
      </c>
      <c r="H34" s="102" t="s">
        <v>801</v>
      </c>
      <c r="I34" s="63" t="s">
        <v>802</v>
      </c>
      <c r="J34" s="25" t="s">
        <v>803</v>
      </c>
      <c r="K34" s="67" t="s">
        <v>50</v>
      </c>
      <c r="L34" s="20" t="s">
        <v>26</v>
      </c>
      <c r="M34" s="115" t="s">
        <v>804</v>
      </c>
      <c r="N34" s="110">
        <v>44439</v>
      </c>
      <c r="O34" s="110"/>
      <c r="P34" s="122" t="str">
        <f>TEXT(Table134[[#This Row],[Implementation Due Date]],"YYYY")</f>
        <v>2021</v>
      </c>
      <c r="Q34" s="96" t="str">
        <f>"Q"&amp;ROUNDUP(MONTH(Table134[[#This Row],[Implementation Due Date]])/3,0)</f>
        <v>Q3</v>
      </c>
      <c r="R34" s="98">
        <v>2025</v>
      </c>
      <c r="S34" s="95" t="s">
        <v>799</v>
      </c>
      <c r="T34" s="90"/>
      <c r="U34" s="125" t="s">
        <v>706</v>
      </c>
      <c r="V34" s="73" t="s">
        <v>707</v>
      </c>
      <c r="W34" s="15" t="s">
        <v>706</v>
      </c>
      <c r="X34" s="15"/>
      <c r="Y34" s="26" t="s">
        <v>805</v>
      </c>
      <c r="Z34" s="25"/>
    </row>
    <row r="35" spans="1:26" ht="55.2" x14ac:dyDescent="0.3">
      <c r="A35" s="15">
        <f t="shared" si="0"/>
        <v>32</v>
      </c>
      <c r="B35" s="15" t="s">
        <v>699</v>
      </c>
      <c r="C35" s="15" t="s">
        <v>699</v>
      </c>
      <c r="D35" s="15">
        <v>2021</v>
      </c>
      <c r="E35" s="15"/>
      <c r="F35" s="15" t="s">
        <v>793</v>
      </c>
      <c r="G35" s="16" t="s">
        <v>794</v>
      </c>
      <c r="H35" s="102" t="s">
        <v>806</v>
      </c>
      <c r="I35" s="63" t="s">
        <v>807</v>
      </c>
      <c r="J35" s="25" t="s">
        <v>808</v>
      </c>
      <c r="K35" s="67" t="s">
        <v>50</v>
      </c>
      <c r="L35" s="20" t="s">
        <v>37</v>
      </c>
      <c r="M35" s="115" t="s">
        <v>809</v>
      </c>
      <c r="N35" s="110">
        <v>44408</v>
      </c>
      <c r="O35" s="110"/>
      <c r="P35" s="122" t="str">
        <f>TEXT(Table134[[#This Row],[Implementation Due Date]],"YYYY")</f>
        <v>2021</v>
      </c>
      <c r="Q35" s="96" t="str">
        <f>"Q"&amp;ROUNDUP(MONTH(Table134[[#This Row],[Implementation Due Date]])/3,0)</f>
        <v>Q3</v>
      </c>
      <c r="R35" s="99">
        <v>2021</v>
      </c>
      <c r="S35" s="95" t="s">
        <v>705</v>
      </c>
      <c r="T35" s="90"/>
      <c r="U35" s="125" t="s">
        <v>706</v>
      </c>
      <c r="V35" s="73" t="s">
        <v>707</v>
      </c>
      <c r="W35" s="15" t="s">
        <v>706</v>
      </c>
      <c r="X35" s="15"/>
      <c r="Y35" s="26" t="s">
        <v>810</v>
      </c>
      <c r="Z35" s="25"/>
    </row>
    <row r="36" spans="1:26" ht="86.4" x14ac:dyDescent="0.3">
      <c r="A36" s="15">
        <f t="shared" si="0"/>
        <v>33</v>
      </c>
      <c r="B36" s="15" t="s">
        <v>699</v>
      </c>
      <c r="C36" s="15" t="s">
        <v>699</v>
      </c>
      <c r="D36" s="15">
        <v>2021</v>
      </c>
      <c r="E36" s="15"/>
      <c r="F36" s="15" t="s">
        <v>793</v>
      </c>
      <c r="G36" s="25" t="s">
        <v>794</v>
      </c>
      <c r="H36" s="102" t="s">
        <v>811</v>
      </c>
      <c r="I36" s="63" t="s">
        <v>812</v>
      </c>
      <c r="J36" s="25" t="s">
        <v>813</v>
      </c>
      <c r="K36" s="67" t="s">
        <v>50</v>
      </c>
      <c r="L36" s="20" t="s">
        <v>814</v>
      </c>
      <c r="M36" s="115" t="s">
        <v>815</v>
      </c>
      <c r="N36" s="110">
        <v>44408</v>
      </c>
      <c r="O36" s="110"/>
      <c r="P36" s="122" t="str">
        <f>TEXT(Table134[[#This Row],[Implementation Due Date]],"YYYY")</f>
        <v>2021</v>
      </c>
      <c r="Q36" s="96" t="str">
        <f>"Q"&amp;ROUNDUP(MONTH(Table134[[#This Row],[Implementation Due Date]])/3,0)</f>
        <v>Q3</v>
      </c>
      <c r="R36" s="98">
        <v>2025</v>
      </c>
      <c r="S36" s="95" t="s">
        <v>711</v>
      </c>
      <c r="T36" s="89"/>
      <c r="U36" s="125" t="s">
        <v>706</v>
      </c>
      <c r="V36" s="73" t="s">
        <v>707</v>
      </c>
      <c r="W36" s="15" t="s">
        <v>706</v>
      </c>
      <c r="X36" s="15"/>
      <c r="Y36" s="26" t="s">
        <v>816</v>
      </c>
      <c r="Z36" s="25"/>
    </row>
    <row r="37" spans="1:26" ht="72" x14ac:dyDescent="0.3">
      <c r="A37" s="15">
        <f t="shared" si="0"/>
        <v>34</v>
      </c>
      <c r="B37" s="15" t="s">
        <v>699</v>
      </c>
      <c r="C37" s="15" t="s">
        <v>699</v>
      </c>
      <c r="D37" s="15">
        <v>2021</v>
      </c>
      <c r="E37" s="15"/>
      <c r="F37" s="15" t="s">
        <v>793</v>
      </c>
      <c r="G37" s="25" t="s">
        <v>794</v>
      </c>
      <c r="H37" s="102" t="s">
        <v>817</v>
      </c>
      <c r="I37" s="63" t="s">
        <v>818</v>
      </c>
      <c r="J37" s="25" t="s">
        <v>819</v>
      </c>
      <c r="K37" s="67" t="s">
        <v>50</v>
      </c>
      <c r="L37" s="20" t="s">
        <v>26</v>
      </c>
      <c r="M37" s="115" t="s">
        <v>820</v>
      </c>
      <c r="N37" s="110">
        <v>44439</v>
      </c>
      <c r="O37" s="110"/>
      <c r="P37" s="122" t="str">
        <f>TEXT(Table134[[#This Row],[Implementation Due Date]],"YYYY")</f>
        <v>2021</v>
      </c>
      <c r="Q37" s="96" t="str">
        <f>"Q"&amp;ROUNDUP(MONTH(Table134[[#This Row],[Implementation Due Date]])/3,0)</f>
        <v>Q3</v>
      </c>
      <c r="R37" s="98">
        <v>2024</v>
      </c>
      <c r="S37" s="95" t="s">
        <v>711</v>
      </c>
      <c r="T37" s="89"/>
      <c r="U37" s="125" t="s">
        <v>706</v>
      </c>
      <c r="V37" s="73" t="s">
        <v>707</v>
      </c>
      <c r="W37" s="15" t="s">
        <v>706</v>
      </c>
      <c r="X37" s="15"/>
      <c r="Y37" s="26" t="s">
        <v>821</v>
      </c>
      <c r="Z37" s="25"/>
    </row>
    <row r="38" spans="1:26" ht="69" x14ac:dyDescent="0.3">
      <c r="A38" s="15">
        <f t="shared" si="0"/>
        <v>35</v>
      </c>
      <c r="B38" s="15" t="s">
        <v>699</v>
      </c>
      <c r="C38" s="15" t="s">
        <v>699</v>
      </c>
      <c r="D38" s="15">
        <v>2021</v>
      </c>
      <c r="E38" s="15"/>
      <c r="F38" s="15" t="s">
        <v>793</v>
      </c>
      <c r="G38" s="25" t="s">
        <v>794</v>
      </c>
      <c r="H38" s="102" t="s">
        <v>822</v>
      </c>
      <c r="I38" s="63" t="s">
        <v>823</v>
      </c>
      <c r="J38" s="25" t="s">
        <v>824</v>
      </c>
      <c r="K38" s="67" t="s">
        <v>50</v>
      </c>
      <c r="L38" s="20" t="s">
        <v>26</v>
      </c>
      <c r="M38" s="115" t="s">
        <v>820</v>
      </c>
      <c r="N38" s="110">
        <v>44439</v>
      </c>
      <c r="O38" s="110"/>
      <c r="P38" s="122" t="str">
        <f>TEXT(Table134[[#This Row],[Implementation Due Date]],"YYYY")</f>
        <v>2021</v>
      </c>
      <c r="Q38" s="96" t="str">
        <f>"Q"&amp;ROUNDUP(MONTH(Table134[[#This Row],[Implementation Due Date]])/3,0)</f>
        <v>Q3</v>
      </c>
      <c r="R38" s="98">
        <v>2024</v>
      </c>
      <c r="S38" s="95" t="s">
        <v>711</v>
      </c>
      <c r="T38" s="89"/>
      <c r="U38" s="125" t="s">
        <v>706</v>
      </c>
      <c r="V38" s="73" t="s">
        <v>707</v>
      </c>
      <c r="W38" s="15" t="s">
        <v>706</v>
      </c>
      <c r="X38" s="15"/>
      <c r="Y38" s="26" t="s">
        <v>825</v>
      </c>
      <c r="Z38" s="25"/>
    </row>
    <row r="39" spans="1:26" ht="129.6" x14ac:dyDescent="0.3">
      <c r="A39" s="15">
        <f t="shared" si="0"/>
        <v>36</v>
      </c>
      <c r="B39" s="15" t="s">
        <v>699</v>
      </c>
      <c r="C39" s="15" t="s">
        <v>699</v>
      </c>
      <c r="D39" s="15">
        <v>2021</v>
      </c>
      <c r="E39" s="15"/>
      <c r="F39" s="15" t="s">
        <v>793</v>
      </c>
      <c r="G39" s="25" t="s">
        <v>794</v>
      </c>
      <c r="H39" s="102" t="s">
        <v>826</v>
      </c>
      <c r="I39" s="63" t="s">
        <v>827</v>
      </c>
      <c r="J39" s="25" t="s">
        <v>828</v>
      </c>
      <c r="K39" s="68" t="s">
        <v>79</v>
      </c>
      <c r="L39" s="20" t="s">
        <v>55</v>
      </c>
      <c r="M39" s="115" t="s">
        <v>829</v>
      </c>
      <c r="N39" s="110">
        <v>44439</v>
      </c>
      <c r="O39" s="110"/>
      <c r="P39" s="122" t="str">
        <f>TEXT(Table134[[#This Row],[Implementation Due Date]],"YYYY")</f>
        <v>2021</v>
      </c>
      <c r="Q39" s="96" t="str">
        <f>"Q"&amp;ROUNDUP(MONTH(Table134[[#This Row],[Implementation Due Date]])/3,0)</f>
        <v>Q3</v>
      </c>
      <c r="R39" s="98">
        <v>2024</v>
      </c>
      <c r="S39" s="95" t="s">
        <v>711</v>
      </c>
      <c r="T39" s="89"/>
      <c r="U39" s="125" t="s">
        <v>706</v>
      </c>
      <c r="V39" s="73" t="s">
        <v>707</v>
      </c>
      <c r="W39" s="15" t="s">
        <v>706</v>
      </c>
      <c r="X39" s="15"/>
      <c r="Y39" s="26" t="s">
        <v>830</v>
      </c>
      <c r="Z39" s="25"/>
    </row>
    <row r="40" spans="1:26" ht="96.6" x14ac:dyDescent="0.3">
      <c r="A40" s="15">
        <f t="shared" si="0"/>
        <v>37</v>
      </c>
      <c r="B40" s="15" t="s">
        <v>699</v>
      </c>
      <c r="C40" s="15" t="s">
        <v>699</v>
      </c>
      <c r="D40" s="15">
        <v>2021</v>
      </c>
      <c r="E40" s="15"/>
      <c r="F40" s="15" t="s">
        <v>793</v>
      </c>
      <c r="G40" s="25" t="s">
        <v>794</v>
      </c>
      <c r="H40" s="102" t="s">
        <v>831</v>
      </c>
      <c r="I40" s="63" t="s">
        <v>832</v>
      </c>
      <c r="J40" s="25" t="s">
        <v>833</v>
      </c>
      <c r="K40" s="67" t="s">
        <v>50</v>
      </c>
      <c r="L40" s="20" t="s">
        <v>26</v>
      </c>
      <c r="M40" s="115" t="s">
        <v>834</v>
      </c>
      <c r="N40" s="110">
        <v>44439</v>
      </c>
      <c r="O40" s="110"/>
      <c r="P40" s="122" t="str">
        <f>TEXT(Table134[[#This Row],[Implementation Due Date]],"YYYY")</f>
        <v>2021</v>
      </c>
      <c r="Q40" s="96" t="str">
        <f>"Q"&amp;ROUNDUP(MONTH(Table134[[#This Row],[Implementation Due Date]])/3,0)</f>
        <v>Q3</v>
      </c>
      <c r="R40" s="98">
        <v>2026</v>
      </c>
      <c r="S40" s="95" t="s">
        <v>799</v>
      </c>
      <c r="T40" s="89">
        <v>46022</v>
      </c>
      <c r="U40" s="126" t="s">
        <v>706</v>
      </c>
      <c r="V40" s="73" t="s">
        <v>707</v>
      </c>
      <c r="W40" s="15" t="s">
        <v>706</v>
      </c>
      <c r="X40" s="15"/>
      <c r="Y40" s="26" t="s">
        <v>835</v>
      </c>
      <c r="Z40" s="25"/>
    </row>
    <row r="41" spans="1:26" ht="57.6" x14ac:dyDescent="0.3">
      <c r="A41" s="15">
        <f t="shared" si="0"/>
        <v>38</v>
      </c>
      <c r="B41" s="15" t="s">
        <v>699</v>
      </c>
      <c r="C41" s="15" t="s">
        <v>699</v>
      </c>
      <c r="D41" s="15">
        <v>2021</v>
      </c>
      <c r="E41" s="15"/>
      <c r="F41" s="15" t="s">
        <v>793</v>
      </c>
      <c r="G41" s="25" t="s">
        <v>794</v>
      </c>
      <c r="H41" s="102" t="s">
        <v>836</v>
      </c>
      <c r="I41" s="63" t="s">
        <v>837</v>
      </c>
      <c r="J41" s="25" t="s">
        <v>838</v>
      </c>
      <c r="K41" s="67" t="s">
        <v>50</v>
      </c>
      <c r="L41" s="20" t="s">
        <v>55</v>
      </c>
      <c r="M41" s="116" t="s">
        <v>839</v>
      </c>
      <c r="N41" s="111">
        <v>44439</v>
      </c>
      <c r="O41" s="111"/>
      <c r="P41" s="129" t="str">
        <f>TEXT(Table134[[#This Row],[Implementation Due Date]],"YYYY")</f>
        <v>2021</v>
      </c>
      <c r="Q41" s="130" t="str">
        <f>"Q"&amp;ROUNDUP(MONTH(Table134[[#This Row],[Implementation Due Date]])/3,0)</f>
        <v>Q3</v>
      </c>
      <c r="R41" s="131">
        <v>2022</v>
      </c>
      <c r="S41" s="95" t="s">
        <v>705</v>
      </c>
      <c r="T41" s="89"/>
      <c r="U41" s="125" t="s">
        <v>706</v>
      </c>
      <c r="V41" s="73" t="s">
        <v>707</v>
      </c>
      <c r="W41" s="15" t="s">
        <v>706</v>
      </c>
      <c r="X41" s="15"/>
      <c r="Y41" s="26" t="s">
        <v>840</v>
      </c>
      <c r="Z41" s="25"/>
    </row>
    <row r="42" spans="1:26" ht="82.8" x14ac:dyDescent="0.3">
      <c r="A42" s="15">
        <f t="shared" si="0"/>
        <v>39</v>
      </c>
      <c r="B42" s="15" t="s">
        <v>699</v>
      </c>
      <c r="C42" s="15" t="s">
        <v>699</v>
      </c>
      <c r="D42" s="15">
        <v>2021</v>
      </c>
      <c r="E42" s="15"/>
      <c r="F42" s="15" t="s">
        <v>793</v>
      </c>
      <c r="G42" s="25" t="s">
        <v>794</v>
      </c>
      <c r="H42" s="102" t="s">
        <v>841</v>
      </c>
      <c r="I42" s="63" t="s">
        <v>842</v>
      </c>
      <c r="J42" s="25" t="s">
        <v>843</v>
      </c>
      <c r="K42" s="68" t="s">
        <v>79</v>
      </c>
      <c r="L42" s="20" t="s">
        <v>844</v>
      </c>
      <c r="M42" s="116" t="s">
        <v>839</v>
      </c>
      <c r="N42" s="111">
        <v>44439</v>
      </c>
      <c r="O42" s="111"/>
      <c r="P42" s="129" t="str">
        <f>TEXT(Table134[[#This Row],[Implementation Due Date]],"YYYY")</f>
        <v>2021</v>
      </c>
      <c r="Q42" s="130" t="str">
        <f>"Q"&amp;ROUNDUP(MONTH(Table134[[#This Row],[Implementation Due Date]])/3,0)</f>
        <v>Q3</v>
      </c>
      <c r="R42" s="98"/>
      <c r="S42" s="95"/>
      <c r="T42" s="90">
        <v>46022</v>
      </c>
      <c r="U42" s="127" t="s">
        <v>845</v>
      </c>
      <c r="V42" s="73">
        <f>$U$2-Table134[[#This Row],[Implementation Due Date]]</f>
        <v>1764</v>
      </c>
      <c r="W42" s="15" t="s">
        <v>846</v>
      </c>
      <c r="X42" s="15"/>
      <c r="Y42" s="26" t="s">
        <v>847</v>
      </c>
      <c r="Z42" s="25"/>
    </row>
    <row r="43" spans="1:26" ht="115.2" x14ac:dyDescent="0.3">
      <c r="A43" s="15">
        <f t="shared" si="0"/>
        <v>40</v>
      </c>
      <c r="B43" s="15" t="s">
        <v>699</v>
      </c>
      <c r="C43" s="15" t="s">
        <v>699</v>
      </c>
      <c r="D43" s="15">
        <v>2021</v>
      </c>
      <c r="E43" s="15"/>
      <c r="F43" s="15" t="s">
        <v>140</v>
      </c>
      <c r="G43" s="25" t="s">
        <v>140</v>
      </c>
      <c r="H43" s="102" t="s">
        <v>848</v>
      </c>
      <c r="I43" s="63" t="s">
        <v>849</v>
      </c>
      <c r="J43" s="25" t="s">
        <v>850</v>
      </c>
      <c r="K43" s="67" t="s">
        <v>50</v>
      </c>
      <c r="L43" s="20" t="s">
        <v>26</v>
      </c>
      <c r="M43" s="116" t="s">
        <v>144</v>
      </c>
      <c r="N43" s="111">
        <v>44561</v>
      </c>
      <c r="O43" s="111"/>
      <c r="P43" s="129" t="str">
        <f>TEXT(Table134[[#This Row],[Implementation Due Date]],"YYYY")</f>
        <v>2021</v>
      </c>
      <c r="Q43" s="130" t="str">
        <f>"Q"&amp;ROUNDUP(MONTH(Table134[[#This Row],[Implementation Due Date]])/3,0)</f>
        <v>Q4</v>
      </c>
      <c r="R43" s="98">
        <v>2026</v>
      </c>
      <c r="S43" s="95" t="s">
        <v>799</v>
      </c>
      <c r="T43" s="89">
        <v>45504</v>
      </c>
      <c r="U43" s="126" t="s">
        <v>706</v>
      </c>
      <c r="V43" s="73" t="s">
        <v>707</v>
      </c>
      <c r="W43" s="15" t="s">
        <v>706</v>
      </c>
      <c r="X43" s="15"/>
      <c r="Y43" s="26" t="s">
        <v>851</v>
      </c>
      <c r="Z43" s="25"/>
    </row>
    <row r="44" spans="1:26" ht="144" x14ac:dyDescent="0.3">
      <c r="A44" s="15">
        <f t="shared" si="0"/>
        <v>41</v>
      </c>
      <c r="B44" s="15" t="s">
        <v>699</v>
      </c>
      <c r="C44" s="15" t="s">
        <v>699</v>
      </c>
      <c r="D44" s="15">
        <v>2021</v>
      </c>
      <c r="E44" s="15"/>
      <c r="F44" s="15" t="s">
        <v>140</v>
      </c>
      <c r="G44" s="25" t="s">
        <v>140</v>
      </c>
      <c r="H44" s="103" t="s">
        <v>852</v>
      </c>
      <c r="I44" s="63" t="s">
        <v>853</v>
      </c>
      <c r="J44" s="25" t="s">
        <v>854</v>
      </c>
      <c r="K44" s="67" t="s">
        <v>50</v>
      </c>
      <c r="L44" s="20" t="s">
        <v>26</v>
      </c>
      <c r="M44" s="116" t="s">
        <v>144</v>
      </c>
      <c r="N44" s="111">
        <v>44561</v>
      </c>
      <c r="O44" s="111"/>
      <c r="P44" s="129" t="str">
        <f>TEXT(Table134[[#This Row],[Implementation Due Date]],"YYYY")</f>
        <v>2021</v>
      </c>
      <c r="Q44" s="130" t="str">
        <f>"Q"&amp;ROUNDUP(MONTH(Table134[[#This Row],[Implementation Due Date]])/3,0)</f>
        <v>Q4</v>
      </c>
      <c r="R44" s="98">
        <v>2024</v>
      </c>
      <c r="S44" s="95" t="s">
        <v>711</v>
      </c>
      <c r="T44" s="89"/>
      <c r="U44" s="125" t="s">
        <v>706</v>
      </c>
      <c r="V44" s="73" t="s">
        <v>707</v>
      </c>
      <c r="W44" s="15" t="s">
        <v>706</v>
      </c>
      <c r="X44" s="15"/>
      <c r="Y44" s="26" t="s">
        <v>855</v>
      </c>
      <c r="Z44" s="25"/>
    </row>
    <row r="45" spans="1:26" ht="316.8" x14ac:dyDescent="0.3">
      <c r="A45" s="15">
        <f t="shared" si="0"/>
        <v>42</v>
      </c>
      <c r="B45" s="15" t="s">
        <v>699</v>
      </c>
      <c r="C45" s="15" t="s">
        <v>699</v>
      </c>
      <c r="D45" s="15">
        <v>2021</v>
      </c>
      <c r="E45" s="15"/>
      <c r="F45" s="15" t="s">
        <v>140</v>
      </c>
      <c r="G45" s="25" t="s">
        <v>140</v>
      </c>
      <c r="H45" s="103" t="s">
        <v>856</v>
      </c>
      <c r="I45" s="63" t="s">
        <v>857</v>
      </c>
      <c r="J45" s="25" t="s">
        <v>858</v>
      </c>
      <c r="K45" s="67" t="s">
        <v>50</v>
      </c>
      <c r="L45" s="20" t="s">
        <v>26</v>
      </c>
      <c r="M45" s="116" t="s">
        <v>144</v>
      </c>
      <c r="N45" s="111">
        <v>44561</v>
      </c>
      <c r="O45" s="111"/>
      <c r="P45" s="129" t="str">
        <f>TEXT(Table134[[#This Row],[Implementation Due Date]],"YYYY")</f>
        <v>2021</v>
      </c>
      <c r="Q45" s="130" t="str">
        <f>"Q"&amp;ROUNDUP(MONTH(Table134[[#This Row],[Implementation Due Date]])/3,0)</f>
        <v>Q4</v>
      </c>
      <c r="R45" s="98">
        <v>2021</v>
      </c>
      <c r="S45" s="95" t="s">
        <v>705</v>
      </c>
      <c r="T45" s="89"/>
      <c r="U45" s="125" t="s">
        <v>706</v>
      </c>
      <c r="V45" s="73" t="s">
        <v>707</v>
      </c>
      <c r="W45" s="15" t="s">
        <v>706</v>
      </c>
      <c r="X45" s="15"/>
      <c r="Y45" s="26" t="s">
        <v>859</v>
      </c>
      <c r="Z45" s="25"/>
    </row>
    <row r="46" spans="1:26" ht="100.8" x14ac:dyDescent="0.3">
      <c r="A46" s="15">
        <f t="shared" si="0"/>
        <v>43</v>
      </c>
      <c r="B46" s="15" t="s">
        <v>699</v>
      </c>
      <c r="C46" s="15" t="s">
        <v>699</v>
      </c>
      <c r="D46" s="15">
        <v>2021</v>
      </c>
      <c r="E46" s="15"/>
      <c r="F46" s="15" t="s">
        <v>140</v>
      </c>
      <c r="G46" s="25" t="s">
        <v>140</v>
      </c>
      <c r="H46" s="103" t="s">
        <v>860</v>
      </c>
      <c r="I46" s="63" t="s">
        <v>861</v>
      </c>
      <c r="J46" s="25" t="s">
        <v>156</v>
      </c>
      <c r="K46" s="67" t="s">
        <v>50</v>
      </c>
      <c r="L46" s="19" t="s">
        <v>26</v>
      </c>
      <c r="M46" s="116" t="s">
        <v>144</v>
      </c>
      <c r="N46" s="111">
        <v>44561</v>
      </c>
      <c r="O46" s="111"/>
      <c r="P46" s="129" t="str">
        <f>TEXT(Table134[[#This Row],[Implementation Due Date]],"YYYY")</f>
        <v>2021</v>
      </c>
      <c r="Q46" s="130" t="str">
        <f>"Q"&amp;ROUNDUP(MONTH(Table134[[#This Row],[Implementation Due Date]])/3,0)</f>
        <v>Q4</v>
      </c>
      <c r="R46" s="98">
        <v>2024</v>
      </c>
      <c r="S46" s="95" t="s">
        <v>711</v>
      </c>
      <c r="T46" s="90"/>
      <c r="U46" s="125" t="s">
        <v>706</v>
      </c>
      <c r="V46" s="73" t="s">
        <v>707</v>
      </c>
      <c r="W46" s="15" t="s">
        <v>706</v>
      </c>
      <c r="X46" s="15"/>
      <c r="Y46" s="26" t="s">
        <v>862</v>
      </c>
      <c r="Z46" s="25"/>
    </row>
    <row r="47" spans="1:26" ht="72" x14ac:dyDescent="0.3">
      <c r="A47" s="15">
        <f t="shared" si="0"/>
        <v>44</v>
      </c>
      <c r="B47" s="15" t="s">
        <v>699</v>
      </c>
      <c r="C47" s="15" t="s">
        <v>699</v>
      </c>
      <c r="D47" s="15">
        <v>2021</v>
      </c>
      <c r="E47" s="15"/>
      <c r="F47" s="15" t="s">
        <v>140</v>
      </c>
      <c r="G47" s="25" t="s">
        <v>140</v>
      </c>
      <c r="H47" s="103" t="s">
        <v>863</v>
      </c>
      <c r="I47" s="63" t="s">
        <v>864</v>
      </c>
      <c r="J47" s="26" t="s">
        <v>865</v>
      </c>
      <c r="K47" s="67" t="s">
        <v>50</v>
      </c>
      <c r="L47" s="20" t="s">
        <v>26</v>
      </c>
      <c r="M47" s="116" t="s">
        <v>144</v>
      </c>
      <c r="N47" s="111">
        <v>44561</v>
      </c>
      <c r="O47" s="111"/>
      <c r="P47" s="129" t="str">
        <f>TEXT(Table134[[#This Row],[Implementation Due Date]],"YYYY")</f>
        <v>2021</v>
      </c>
      <c r="Q47" s="130" t="str">
        <f>"Q"&amp;ROUNDUP(MONTH(Table134[[#This Row],[Implementation Due Date]])/3,0)</f>
        <v>Q4</v>
      </c>
      <c r="R47" s="98">
        <v>2026</v>
      </c>
      <c r="S47" s="95" t="s">
        <v>799</v>
      </c>
      <c r="T47" s="89">
        <v>45504</v>
      </c>
      <c r="U47" s="126" t="s">
        <v>706</v>
      </c>
      <c r="V47" s="15" t="s">
        <v>707</v>
      </c>
      <c r="W47" s="15" t="s">
        <v>706</v>
      </c>
      <c r="X47" s="15"/>
      <c r="Y47" s="26" t="s">
        <v>866</v>
      </c>
      <c r="Z47" s="25"/>
    </row>
    <row r="48" spans="1:26" ht="72" x14ac:dyDescent="0.3">
      <c r="A48" s="15">
        <f t="shared" si="0"/>
        <v>45</v>
      </c>
      <c r="B48" s="15" t="s">
        <v>699</v>
      </c>
      <c r="C48" s="15" t="s">
        <v>699</v>
      </c>
      <c r="D48" s="15">
        <v>2021</v>
      </c>
      <c r="E48" s="15"/>
      <c r="F48" s="15" t="s">
        <v>140</v>
      </c>
      <c r="G48" s="25" t="s">
        <v>140</v>
      </c>
      <c r="H48" s="103" t="s">
        <v>867</v>
      </c>
      <c r="I48" s="63" t="s">
        <v>868</v>
      </c>
      <c r="J48" s="25" t="s">
        <v>869</v>
      </c>
      <c r="K48" s="68" t="s">
        <v>79</v>
      </c>
      <c r="L48" s="20" t="s">
        <v>814</v>
      </c>
      <c r="M48" s="116" t="s">
        <v>144</v>
      </c>
      <c r="N48" s="111">
        <v>44561</v>
      </c>
      <c r="O48" s="111"/>
      <c r="P48" s="129" t="str">
        <f>TEXT(Table134[[#This Row],[Implementation Due Date]],"YYYY")</f>
        <v>2021</v>
      </c>
      <c r="Q48" s="130" t="str">
        <f>"Q"&amp;ROUNDUP(MONTH(Table134[[#This Row],[Implementation Due Date]])/3,0)</f>
        <v>Q4</v>
      </c>
      <c r="R48" s="98">
        <v>2025</v>
      </c>
      <c r="S48" s="95" t="s">
        <v>705</v>
      </c>
      <c r="T48" s="89"/>
      <c r="U48" s="126" t="s">
        <v>706</v>
      </c>
      <c r="V48" s="73" t="s">
        <v>707</v>
      </c>
      <c r="W48" s="15" t="s">
        <v>706</v>
      </c>
      <c r="X48" s="15"/>
      <c r="Y48" s="26" t="s">
        <v>870</v>
      </c>
      <c r="Z48" s="25"/>
    </row>
    <row r="49" spans="1:26" ht="43.2" x14ac:dyDescent="0.3">
      <c r="A49" s="15">
        <f t="shared" si="0"/>
        <v>46</v>
      </c>
      <c r="B49" s="15" t="s">
        <v>699</v>
      </c>
      <c r="C49" s="15" t="s">
        <v>699</v>
      </c>
      <c r="D49" s="15">
        <v>2021</v>
      </c>
      <c r="E49" s="15"/>
      <c r="F49" s="15" t="s">
        <v>140</v>
      </c>
      <c r="G49" s="25" t="s">
        <v>140</v>
      </c>
      <c r="H49" s="103" t="s">
        <v>871</v>
      </c>
      <c r="I49" s="63" t="s">
        <v>872</v>
      </c>
      <c r="J49" s="25" t="s">
        <v>873</v>
      </c>
      <c r="K49" s="68" t="s">
        <v>79</v>
      </c>
      <c r="L49" s="20" t="s">
        <v>55</v>
      </c>
      <c r="M49" s="116" t="s">
        <v>144</v>
      </c>
      <c r="N49" s="110">
        <v>44561</v>
      </c>
      <c r="O49" s="110"/>
      <c r="P49" s="122" t="str">
        <f>TEXT(Table134[[#This Row],[Implementation Due Date]],"YYYY")</f>
        <v>2021</v>
      </c>
      <c r="Q49" s="96" t="str">
        <f>"Q"&amp;ROUNDUP(MONTH(Table134[[#This Row],[Implementation Due Date]])/3,0)</f>
        <v>Q4</v>
      </c>
      <c r="R49" s="131">
        <v>2022</v>
      </c>
      <c r="S49" s="95" t="s">
        <v>705</v>
      </c>
      <c r="T49" s="89"/>
      <c r="U49" s="125" t="s">
        <v>706</v>
      </c>
      <c r="V49" s="73" t="s">
        <v>707</v>
      </c>
      <c r="W49" s="15" t="s">
        <v>706</v>
      </c>
      <c r="X49" s="15"/>
      <c r="Y49" s="26" t="s">
        <v>874</v>
      </c>
      <c r="Z49" s="25"/>
    </row>
    <row r="50" spans="1:26" ht="360" x14ac:dyDescent="0.3">
      <c r="A50" s="15">
        <f t="shared" si="0"/>
        <v>47</v>
      </c>
      <c r="B50" s="15" t="s">
        <v>699</v>
      </c>
      <c r="C50" s="15" t="s">
        <v>699</v>
      </c>
      <c r="D50" s="15">
        <v>2021</v>
      </c>
      <c r="E50" s="15"/>
      <c r="F50" s="15" t="s">
        <v>406</v>
      </c>
      <c r="G50" s="16" t="s">
        <v>875</v>
      </c>
      <c r="H50" s="102" t="s">
        <v>876</v>
      </c>
      <c r="I50" s="63" t="s">
        <v>877</v>
      </c>
      <c r="J50" s="25" t="s">
        <v>803</v>
      </c>
      <c r="K50" s="67" t="s">
        <v>50</v>
      </c>
      <c r="L50" s="20" t="s">
        <v>26</v>
      </c>
      <c r="M50" s="116" t="s">
        <v>809</v>
      </c>
      <c r="N50" s="110">
        <v>44742</v>
      </c>
      <c r="O50" s="110"/>
      <c r="P50" s="122" t="str">
        <f>TEXT(Table134[[#This Row],[Implementation Due Date]],"YYYY")</f>
        <v>2022</v>
      </c>
      <c r="Q50" s="96" t="str">
        <f>"Q"&amp;ROUNDUP(MONTH(Table134[[#This Row],[Implementation Due Date]])/3,0)</f>
        <v>Q2</v>
      </c>
      <c r="R50" s="98">
        <v>2025</v>
      </c>
      <c r="S50" s="95" t="s">
        <v>799</v>
      </c>
      <c r="T50" s="90"/>
      <c r="U50" s="125" t="s">
        <v>706</v>
      </c>
      <c r="V50" s="73" t="s">
        <v>707</v>
      </c>
      <c r="W50" s="15" t="s">
        <v>706</v>
      </c>
      <c r="X50" s="15"/>
      <c r="Y50" s="26" t="s">
        <v>878</v>
      </c>
      <c r="Z50" s="25"/>
    </row>
    <row r="51" spans="1:26" ht="96.6" x14ac:dyDescent="0.3">
      <c r="A51" s="15">
        <f t="shared" si="0"/>
        <v>48</v>
      </c>
      <c r="B51" s="15" t="s">
        <v>699</v>
      </c>
      <c r="C51" s="15" t="s">
        <v>699</v>
      </c>
      <c r="D51" s="15">
        <v>2021</v>
      </c>
      <c r="E51" s="15"/>
      <c r="F51" s="15" t="s">
        <v>406</v>
      </c>
      <c r="G51" s="16" t="s">
        <v>875</v>
      </c>
      <c r="H51" s="102" t="s">
        <v>879</v>
      </c>
      <c r="I51" s="63" t="s">
        <v>880</v>
      </c>
      <c r="J51" s="25" t="s">
        <v>881</v>
      </c>
      <c r="K51" s="67" t="s">
        <v>50</v>
      </c>
      <c r="L51" s="20" t="s">
        <v>55</v>
      </c>
      <c r="M51" s="115" t="s">
        <v>809</v>
      </c>
      <c r="N51" s="110">
        <v>44742</v>
      </c>
      <c r="O51" s="110"/>
      <c r="P51" s="122" t="str">
        <f>TEXT(Table134[[#This Row],[Implementation Due Date]],"YYYY")</f>
        <v>2022</v>
      </c>
      <c r="Q51" s="96" t="str">
        <f>"Q"&amp;ROUNDUP(MONTH(Table134[[#This Row],[Implementation Due Date]])/3,0)</f>
        <v>Q2</v>
      </c>
      <c r="R51" s="98"/>
      <c r="S51" s="95"/>
      <c r="T51" s="89">
        <v>45657</v>
      </c>
      <c r="U51" s="127" t="s">
        <v>845</v>
      </c>
      <c r="V51" s="73">
        <f>$U$2-Table134[[#This Row],[Implementation Due Date]]</f>
        <v>1461</v>
      </c>
      <c r="W51" s="15" t="s">
        <v>846</v>
      </c>
      <c r="X51" s="15"/>
      <c r="Y51" s="26" t="s">
        <v>882</v>
      </c>
      <c r="Z51" s="25"/>
    </row>
    <row r="52" spans="1:26" ht="100.8" x14ac:dyDescent="0.3">
      <c r="A52" s="15">
        <f t="shared" si="0"/>
        <v>49</v>
      </c>
      <c r="B52" s="15" t="s">
        <v>699</v>
      </c>
      <c r="C52" s="15" t="s">
        <v>699</v>
      </c>
      <c r="D52" s="15">
        <v>2021</v>
      </c>
      <c r="E52" s="15"/>
      <c r="F52" s="15" t="s">
        <v>406</v>
      </c>
      <c r="G52" s="16" t="s">
        <v>875</v>
      </c>
      <c r="H52" s="102" t="s">
        <v>883</v>
      </c>
      <c r="I52" s="63" t="s">
        <v>884</v>
      </c>
      <c r="J52" s="25" t="s">
        <v>885</v>
      </c>
      <c r="K52" s="67" t="s">
        <v>50</v>
      </c>
      <c r="L52" s="20" t="s">
        <v>814</v>
      </c>
      <c r="M52" s="115" t="s">
        <v>809</v>
      </c>
      <c r="N52" s="110">
        <v>44742</v>
      </c>
      <c r="O52" s="110"/>
      <c r="P52" s="122" t="str">
        <f>TEXT(Table134[[#This Row],[Implementation Due Date]],"YYYY")</f>
        <v>2022</v>
      </c>
      <c r="Q52" s="96" t="str">
        <f>"Q"&amp;ROUNDUP(MONTH(Table134[[#This Row],[Implementation Due Date]])/3,0)</f>
        <v>Q2</v>
      </c>
      <c r="R52" s="98"/>
      <c r="S52" s="95"/>
      <c r="T52" s="89">
        <v>45657</v>
      </c>
      <c r="U52" s="127" t="s">
        <v>845</v>
      </c>
      <c r="V52" s="73">
        <f>$U$2-Table134[[#This Row],[Implementation Due Date]]</f>
        <v>1461</v>
      </c>
      <c r="W52" s="15" t="s">
        <v>846</v>
      </c>
      <c r="X52" s="15"/>
      <c r="Y52" s="26" t="s">
        <v>886</v>
      </c>
      <c r="Z52" s="25"/>
    </row>
    <row r="53" spans="1:26" ht="82.8" x14ac:dyDescent="0.3">
      <c r="A53" s="15">
        <f t="shared" si="0"/>
        <v>50</v>
      </c>
      <c r="B53" s="15" t="s">
        <v>699</v>
      </c>
      <c r="C53" s="15" t="s">
        <v>699</v>
      </c>
      <c r="D53" s="15">
        <v>2021</v>
      </c>
      <c r="E53" s="15"/>
      <c r="F53" s="15" t="s">
        <v>406</v>
      </c>
      <c r="G53" s="16" t="s">
        <v>875</v>
      </c>
      <c r="H53" s="102" t="s">
        <v>887</v>
      </c>
      <c r="I53" s="63" t="s">
        <v>888</v>
      </c>
      <c r="J53" s="25" t="s">
        <v>889</v>
      </c>
      <c r="K53" s="67" t="s">
        <v>50</v>
      </c>
      <c r="L53" s="20" t="s">
        <v>26</v>
      </c>
      <c r="M53" s="115" t="s">
        <v>809</v>
      </c>
      <c r="N53" s="110">
        <v>44650</v>
      </c>
      <c r="O53" s="110"/>
      <c r="P53" s="122" t="str">
        <f>TEXT(Table134[[#This Row],[Implementation Due Date]],"YYYY")</f>
        <v>2022</v>
      </c>
      <c r="Q53" s="96" t="str">
        <f>"Q"&amp;ROUNDUP(MONTH(Table134[[#This Row],[Implementation Due Date]])/3,0)</f>
        <v>Q1</v>
      </c>
      <c r="R53" s="98">
        <v>2024</v>
      </c>
      <c r="S53" s="95" t="s">
        <v>890</v>
      </c>
      <c r="T53" s="90"/>
      <c r="U53" s="125" t="s">
        <v>706</v>
      </c>
      <c r="V53" s="73" t="s">
        <v>707</v>
      </c>
      <c r="W53" s="15" t="s">
        <v>706</v>
      </c>
      <c r="X53" s="15"/>
      <c r="Y53" s="26" t="s">
        <v>891</v>
      </c>
      <c r="Z53" s="25"/>
    </row>
    <row r="54" spans="1:26" ht="187.2" customHeight="1" x14ac:dyDescent="0.3">
      <c r="A54" s="15">
        <f t="shared" si="0"/>
        <v>51</v>
      </c>
      <c r="B54" s="15" t="s">
        <v>699</v>
      </c>
      <c r="C54" s="15" t="s">
        <v>699</v>
      </c>
      <c r="D54" s="15">
        <v>2021</v>
      </c>
      <c r="E54" s="15"/>
      <c r="F54" s="15" t="s">
        <v>406</v>
      </c>
      <c r="G54" s="16" t="s">
        <v>875</v>
      </c>
      <c r="H54" s="102" t="s">
        <v>892</v>
      </c>
      <c r="I54" s="63" t="s">
        <v>893</v>
      </c>
      <c r="J54" s="25" t="s">
        <v>894</v>
      </c>
      <c r="K54" s="67" t="s">
        <v>50</v>
      </c>
      <c r="L54" s="20" t="s">
        <v>55</v>
      </c>
      <c r="M54" s="115" t="s">
        <v>809</v>
      </c>
      <c r="N54" s="110">
        <v>44742</v>
      </c>
      <c r="O54" s="110"/>
      <c r="P54" s="122" t="str">
        <f>TEXT(Table134[[#This Row],[Implementation Due Date]],"YYYY")</f>
        <v>2022</v>
      </c>
      <c r="Q54" s="96" t="str">
        <f>"Q"&amp;ROUNDUP(MONTH(Table134[[#This Row],[Implementation Due Date]])/3,0)</f>
        <v>Q2</v>
      </c>
      <c r="R54" s="98">
        <v>2025</v>
      </c>
      <c r="S54" s="95" t="s">
        <v>705</v>
      </c>
      <c r="T54" s="89"/>
      <c r="U54" s="126" t="s">
        <v>706</v>
      </c>
      <c r="V54" s="73" t="s">
        <v>707</v>
      </c>
      <c r="W54" s="15" t="s">
        <v>706</v>
      </c>
      <c r="X54" s="15"/>
      <c r="Y54" s="26" t="s">
        <v>895</v>
      </c>
      <c r="Z54" s="25"/>
    </row>
    <row r="55" spans="1:26" ht="100.8" x14ac:dyDescent="0.3">
      <c r="A55" s="15">
        <f t="shared" si="0"/>
        <v>52</v>
      </c>
      <c r="B55" s="15" t="s">
        <v>699</v>
      </c>
      <c r="C55" s="15" t="s">
        <v>699</v>
      </c>
      <c r="D55" s="15">
        <v>2021</v>
      </c>
      <c r="E55" s="15"/>
      <c r="F55" s="15" t="s">
        <v>406</v>
      </c>
      <c r="G55" s="16" t="s">
        <v>875</v>
      </c>
      <c r="H55" s="102" t="s">
        <v>221</v>
      </c>
      <c r="I55" s="63" t="s">
        <v>896</v>
      </c>
      <c r="J55" s="25" t="s">
        <v>223</v>
      </c>
      <c r="K55" s="67" t="s">
        <v>50</v>
      </c>
      <c r="L55" s="20" t="s">
        <v>844</v>
      </c>
      <c r="M55" s="115" t="s">
        <v>809</v>
      </c>
      <c r="N55" s="110">
        <v>44772</v>
      </c>
      <c r="O55" s="110"/>
      <c r="P55" s="122" t="str">
        <f>TEXT(Table134[[#This Row],[Implementation Due Date]],"YYYY")</f>
        <v>2022</v>
      </c>
      <c r="Q55" s="96" t="str">
        <f>"Q"&amp;ROUNDUP(MONTH(Table134[[#This Row],[Implementation Due Date]])/3,0)</f>
        <v>Q3</v>
      </c>
      <c r="R55" s="98"/>
      <c r="S55" s="95"/>
      <c r="T55" s="89">
        <v>45657</v>
      </c>
      <c r="U55" s="127" t="s">
        <v>845</v>
      </c>
      <c r="V55" s="73">
        <f>$U$2-Table134[[#This Row],[Implementation Due Date]]</f>
        <v>1431</v>
      </c>
      <c r="W55" s="15" t="s">
        <v>846</v>
      </c>
      <c r="X55" s="15"/>
      <c r="Y55" s="26" t="s">
        <v>897</v>
      </c>
      <c r="Z55" s="25"/>
    </row>
    <row r="56" spans="1:26" ht="187.2" x14ac:dyDescent="0.3">
      <c r="A56" s="15">
        <f t="shared" si="0"/>
        <v>53</v>
      </c>
      <c r="B56" s="15" t="s">
        <v>699</v>
      </c>
      <c r="C56" s="15" t="s">
        <v>699</v>
      </c>
      <c r="D56" s="15">
        <v>2021</v>
      </c>
      <c r="E56" s="15"/>
      <c r="F56" s="15" t="s">
        <v>406</v>
      </c>
      <c r="G56" s="16" t="s">
        <v>875</v>
      </c>
      <c r="H56" s="102" t="s">
        <v>898</v>
      </c>
      <c r="I56" s="63" t="s">
        <v>899</v>
      </c>
      <c r="J56" s="25" t="s">
        <v>900</v>
      </c>
      <c r="K56" s="67" t="s">
        <v>50</v>
      </c>
      <c r="L56" s="20" t="s">
        <v>55</v>
      </c>
      <c r="M56" s="115" t="s">
        <v>809</v>
      </c>
      <c r="N56" s="110">
        <v>44742</v>
      </c>
      <c r="O56" s="110"/>
      <c r="P56" s="122" t="str">
        <f>TEXT(Table134[[#This Row],[Implementation Due Date]],"YYYY")</f>
        <v>2022</v>
      </c>
      <c r="Q56" s="96" t="str">
        <f>"Q"&amp;ROUNDUP(MONTH(Table134[[#This Row],[Implementation Due Date]])/3,0)</f>
        <v>Q2</v>
      </c>
      <c r="R56" s="98">
        <v>2024</v>
      </c>
      <c r="S56" s="95" t="s">
        <v>711</v>
      </c>
      <c r="T56" s="89"/>
      <c r="U56" s="125" t="s">
        <v>706</v>
      </c>
      <c r="V56" s="73" t="s">
        <v>707</v>
      </c>
      <c r="W56" s="15" t="s">
        <v>706</v>
      </c>
      <c r="X56" s="15"/>
      <c r="Y56" s="26" t="s">
        <v>901</v>
      </c>
      <c r="Z56" s="25"/>
    </row>
    <row r="57" spans="1:26" ht="72" x14ac:dyDescent="0.3">
      <c r="A57" s="15">
        <f t="shared" si="0"/>
        <v>54</v>
      </c>
      <c r="B57" s="15" t="s">
        <v>699</v>
      </c>
      <c r="C57" s="15" t="s">
        <v>699</v>
      </c>
      <c r="D57" s="15">
        <v>2021</v>
      </c>
      <c r="E57" s="15"/>
      <c r="F57" s="15" t="s">
        <v>406</v>
      </c>
      <c r="G57" s="16" t="s">
        <v>875</v>
      </c>
      <c r="H57" s="102" t="s">
        <v>902</v>
      </c>
      <c r="I57" s="63" t="s">
        <v>903</v>
      </c>
      <c r="J57" s="25" t="s">
        <v>904</v>
      </c>
      <c r="K57" s="67" t="s">
        <v>50</v>
      </c>
      <c r="L57" s="20" t="s">
        <v>55</v>
      </c>
      <c r="M57" s="115" t="s">
        <v>809</v>
      </c>
      <c r="N57" s="110">
        <v>44651</v>
      </c>
      <c r="O57" s="110"/>
      <c r="P57" s="122" t="str">
        <f>TEXT(Table134[[#This Row],[Implementation Due Date]],"YYYY")</f>
        <v>2022</v>
      </c>
      <c r="Q57" s="96" t="str">
        <f>"Q"&amp;ROUNDUP(MONTH(Table134[[#This Row],[Implementation Due Date]])/3,0)</f>
        <v>Q1</v>
      </c>
      <c r="R57" s="98">
        <v>2022</v>
      </c>
      <c r="S57" s="95" t="s">
        <v>705</v>
      </c>
      <c r="T57" s="89"/>
      <c r="U57" s="125" t="s">
        <v>706</v>
      </c>
      <c r="V57" s="73" t="s">
        <v>707</v>
      </c>
      <c r="W57" s="15" t="s">
        <v>706</v>
      </c>
      <c r="X57" s="15"/>
      <c r="Y57" s="26" t="s">
        <v>905</v>
      </c>
      <c r="Z57" s="25"/>
    </row>
    <row r="58" spans="1:26" ht="55.2" x14ac:dyDescent="0.3">
      <c r="A58" s="15">
        <f t="shared" si="0"/>
        <v>55</v>
      </c>
      <c r="B58" s="15" t="s">
        <v>699</v>
      </c>
      <c r="C58" s="15" t="s">
        <v>699</v>
      </c>
      <c r="D58" s="15">
        <v>2021</v>
      </c>
      <c r="E58" s="15"/>
      <c r="F58" s="15" t="s">
        <v>406</v>
      </c>
      <c r="G58" s="16" t="s">
        <v>875</v>
      </c>
      <c r="H58" s="102" t="s">
        <v>906</v>
      </c>
      <c r="I58" s="63" t="s">
        <v>907</v>
      </c>
      <c r="J58" s="25" t="s">
        <v>908</v>
      </c>
      <c r="K58" s="67" t="s">
        <v>50</v>
      </c>
      <c r="L58" s="20" t="s">
        <v>844</v>
      </c>
      <c r="M58" s="115" t="s">
        <v>809</v>
      </c>
      <c r="N58" s="110">
        <v>44651</v>
      </c>
      <c r="O58" s="110"/>
      <c r="P58" s="122" t="str">
        <f>TEXT(Table134[[#This Row],[Implementation Due Date]],"YYYY")</f>
        <v>2022</v>
      </c>
      <c r="Q58" s="96" t="str">
        <f>"Q"&amp;ROUNDUP(MONTH(Table134[[#This Row],[Implementation Due Date]])/3,0)</f>
        <v>Q1</v>
      </c>
      <c r="R58" s="98">
        <v>2024</v>
      </c>
      <c r="S58" s="95" t="s">
        <v>711</v>
      </c>
      <c r="T58" s="89"/>
      <c r="U58" s="125" t="s">
        <v>706</v>
      </c>
      <c r="V58" s="73" t="s">
        <v>707</v>
      </c>
      <c r="W58" s="15" t="s">
        <v>706</v>
      </c>
      <c r="X58" s="15"/>
      <c r="Y58" s="26" t="s">
        <v>909</v>
      </c>
      <c r="Z58" s="25"/>
    </row>
    <row r="59" spans="1:26" ht="172.8" x14ac:dyDescent="0.3">
      <c r="A59" s="15">
        <f t="shared" si="0"/>
        <v>56</v>
      </c>
      <c r="B59" s="15" t="s">
        <v>699</v>
      </c>
      <c r="C59" s="15" t="s">
        <v>699</v>
      </c>
      <c r="D59" s="15">
        <v>2021</v>
      </c>
      <c r="E59" s="15"/>
      <c r="F59" s="15" t="s">
        <v>406</v>
      </c>
      <c r="G59" s="16" t="s">
        <v>875</v>
      </c>
      <c r="H59" s="102" t="s">
        <v>910</v>
      </c>
      <c r="I59" s="63" t="s">
        <v>911</v>
      </c>
      <c r="J59" s="25" t="s">
        <v>912</v>
      </c>
      <c r="K59" s="67" t="s">
        <v>50</v>
      </c>
      <c r="L59" s="20" t="s">
        <v>26</v>
      </c>
      <c r="M59" s="115" t="s">
        <v>809</v>
      </c>
      <c r="N59" s="110">
        <v>44742</v>
      </c>
      <c r="O59" s="110"/>
      <c r="P59" s="122" t="str">
        <f>TEXT(Table134[[#This Row],[Implementation Due Date]],"YYYY")</f>
        <v>2022</v>
      </c>
      <c r="Q59" s="96" t="str">
        <f>"Q"&amp;ROUNDUP(MONTH(Table134[[#This Row],[Implementation Due Date]])/3,0)</f>
        <v>Q2</v>
      </c>
      <c r="R59" s="98">
        <v>2025</v>
      </c>
      <c r="S59" s="95" t="s">
        <v>799</v>
      </c>
      <c r="T59" s="90"/>
      <c r="U59" s="125" t="s">
        <v>706</v>
      </c>
      <c r="V59" s="73" t="s">
        <v>707</v>
      </c>
      <c r="W59" s="15" t="s">
        <v>706</v>
      </c>
      <c r="X59" s="15"/>
      <c r="Y59" s="26" t="s">
        <v>913</v>
      </c>
      <c r="Z59" s="25"/>
    </row>
    <row r="60" spans="1:26" ht="144" x14ac:dyDescent="0.3">
      <c r="A60" s="15">
        <f t="shared" si="0"/>
        <v>57</v>
      </c>
      <c r="B60" s="15" t="s">
        <v>699</v>
      </c>
      <c r="C60" s="15" t="s">
        <v>699</v>
      </c>
      <c r="D60" s="15">
        <v>2021</v>
      </c>
      <c r="E60" s="15"/>
      <c r="F60" s="15" t="s">
        <v>406</v>
      </c>
      <c r="G60" s="16" t="s">
        <v>875</v>
      </c>
      <c r="H60" s="102" t="s">
        <v>914</v>
      </c>
      <c r="I60" s="63" t="s">
        <v>915</v>
      </c>
      <c r="J60" s="25" t="s">
        <v>916</v>
      </c>
      <c r="K60" s="67" t="s">
        <v>50</v>
      </c>
      <c r="L60" s="20" t="s">
        <v>55</v>
      </c>
      <c r="M60" s="115" t="s">
        <v>809</v>
      </c>
      <c r="N60" s="110">
        <v>44742</v>
      </c>
      <c r="O60" s="110"/>
      <c r="P60" s="122" t="str">
        <f>TEXT(Table134[[#This Row],[Implementation Due Date]],"YYYY")</f>
        <v>2022</v>
      </c>
      <c r="Q60" s="96" t="str">
        <f>"Q"&amp;ROUNDUP(MONTH(Table134[[#This Row],[Implementation Due Date]])/3,0)</f>
        <v>Q2</v>
      </c>
      <c r="R60" s="98">
        <v>2024</v>
      </c>
      <c r="S60" s="95" t="s">
        <v>711</v>
      </c>
      <c r="T60" s="89"/>
      <c r="U60" s="125" t="s">
        <v>706</v>
      </c>
      <c r="V60" s="73" t="s">
        <v>707</v>
      </c>
      <c r="W60" s="15" t="s">
        <v>706</v>
      </c>
      <c r="X60" s="15"/>
      <c r="Y60" s="26" t="s">
        <v>917</v>
      </c>
      <c r="Z60" s="25"/>
    </row>
    <row r="61" spans="1:26" ht="273.60000000000002" x14ac:dyDescent="0.3">
      <c r="A61" s="15">
        <f t="shared" si="0"/>
        <v>58</v>
      </c>
      <c r="B61" s="15" t="s">
        <v>699</v>
      </c>
      <c r="C61" s="15" t="s">
        <v>699</v>
      </c>
      <c r="D61" s="15">
        <v>2021</v>
      </c>
      <c r="E61" s="15"/>
      <c r="F61" s="15" t="s">
        <v>406</v>
      </c>
      <c r="G61" s="16" t="s">
        <v>875</v>
      </c>
      <c r="H61" s="102" t="s">
        <v>918</v>
      </c>
      <c r="I61" s="63" t="s">
        <v>919</v>
      </c>
      <c r="J61" s="34" t="s">
        <v>920</v>
      </c>
      <c r="K61" s="68" t="s">
        <v>79</v>
      </c>
      <c r="L61" s="20" t="s">
        <v>26</v>
      </c>
      <c r="M61" s="117" t="s">
        <v>809</v>
      </c>
      <c r="N61" s="111">
        <v>44742</v>
      </c>
      <c r="O61" s="111"/>
      <c r="P61" s="129" t="str">
        <f>TEXT(Table134[[#This Row],[Implementation Due Date]],"YYYY")</f>
        <v>2022</v>
      </c>
      <c r="Q61" s="130" t="str">
        <f>"Q"&amp;ROUNDUP(MONTH(Table134[[#This Row],[Implementation Due Date]])/3,0)</f>
        <v>Q2</v>
      </c>
      <c r="R61" s="98">
        <v>2025</v>
      </c>
      <c r="S61" s="95" t="s">
        <v>799</v>
      </c>
      <c r="T61" s="89"/>
      <c r="U61" s="125" t="s">
        <v>706</v>
      </c>
      <c r="V61" s="73" t="s">
        <v>707</v>
      </c>
      <c r="W61" s="15" t="s">
        <v>706</v>
      </c>
      <c r="X61" s="15"/>
      <c r="Y61" s="26" t="s">
        <v>921</v>
      </c>
      <c r="Z61" s="25"/>
    </row>
    <row r="62" spans="1:26" ht="144" x14ac:dyDescent="0.3">
      <c r="A62" s="15">
        <f t="shared" si="0"/>
        <v>59</v>
      </c>
      <c r="B62" s="15" t="s">
        <v>699</v>
      </c>
      <c r="C62" s="15" t="s">
        <v>699</v>
      </c>
      <c r="D62" s="15">
        <v>2021</v>
      </c>
      <c r="E62" s="15"/>
      <c r="F62" s="15" t="s">
        <v>406</v>
      </c>
      <c r="G62" s="16" t="s">
        <v>875</v>
      </c>
      <c r="H62" s="102" t="s">
        <v>922</v>
      </c>
      <c r="I62" s="63" t="s">
        <v>923</v>
      </c>
      <c r="J62" s="34" t="s">
        <v>924</v>
      </c>
      <c r="K62" s="67" t="s">
        <v>50</v>
      </c>
      <c r="L62" s="20" t="s">
        <v>55</v>
      </c>
      <c r="M62" s="117" t="s">
        <v>809</v>
      </c>
      <c r="N62" s="111">
        <v>44650</v>
      </c>
      <c r="O62" s="111"/>
      <c r="P62" s="129" t="str">
        <f>TEXT(Table134[[#This Row],[Implementation Due Date]],"YYYY")</f>
        <v>2022</v>
      </c>
      <c r="Q62" s="130" t="str">
        <f>"Q"&amp;ROUNDUP(MONTH(Table134[[#This Row],[Implementation Due Date]])/3,0)</f>
        <v>Q1</v>
      </c>
      <c r="R62" s="98">
        <v>2023</v>
      </c>
      <c r="S62" s="95" t="s">
        <v>890</v>
      </c>
      <c r="T62" s="90"/>
      <c r="U62" s="125" t="s">
        <v>706</v>
      </c>
      <c r="V62" s="73" t="s">
        <v>707</v>
      </c>
      <c r="W62" s="15" t="s">
        <v>706</v>
      </c>
      <c r="X62" s="15"/>
      <c r="Y62" s="26" t="s">
        <v>925</v>
      </c>
      <c r="Z62" s="25"/>
    </row>
    <row r="63" spans="1:26" ht="409.6" x14ac:dyDescent="0.3">
      <c r="A63" s="15">
        <f t="shared" si="0"/>
        <v>60</v>
      </c>
      <c r="B63" s="15" t="s">
        <v>699</v>
      </c>
      <c r="C63" s="15" t="s">
        <v>699</v>
      </c>
      <c r="D63" s="15">
        <v>2021</v>
      </c>
      <c r="E63" s="15"/>
      <c r="F63" s="15" t="s">
        <v>406</v>
      </c>
      <c r="G63" s="16" t="s">
        <v>875</v>
      </c>
      <c r="H63" s="102" t="s">
        <v>926</v>
      </c>
      <c r="I63" s="63" t="s">
        <v>927</v>
      </c>
      <c r="J63" s="34" t="s">
        <v>928</v>
      </c>
      <c r="K63" s="67" t="s">
        <v>50</v>
      </c>
      <c r="L63" s="19" t="s">
        <v>55</v>
      </c>
      <c r="M63" s="117" t="s">
        <v>809</v>
      </c>
      <c r="N63" s="111">
        <v>44650</v>
      </c>
      <c r="O63" s="111"/>
      <c r="P63" s="129" t="str">
        <f>TEXT(Table134[[#This Row],[Implementation Due Date]],"YYYY")</f>
        <v>2022</v>
      </c>
      <c r="Q63" s="130" t="str">
        <f>"Q"&amp;ROUNDUP(MONTH(Table134[[#This Row],[Implementation Due Date]])/3,0)</f>
        <v>Q1</v>
      </c>
      <c r="R63" s="98">
        <v>2025</v>
      </c>
      <c r="S63" s="95" t="s">
        <v>705</v>
      </c>
      <c r="T63" s="90"/>
      <c r="U63" s="126" t="s">
        <v>706</v>
      </c>
      <c r="V63" s="73" t="s">
        <v>707</v>
      </c>
      <c r="W63" s="15" t="s">
        <v>706</v>
      </c>
      <c r="X63" s="15"/>
      <c r="Y63" s="26" t="s">
        <v>929</v>
      </c>
      <c r="Z63" s="25"/>
    </row>
    <row r="64" spans="1:26" ht="187.2" x14ac:dyDescent="0.3">
      <c r="A64" s="15">
        <f t="shared" si="0"/>
        <v>61</v>
      </c>
      <c r="B64" s="15" t="s">
        <v>699</v>
      </c>
      <c r="C64" s="15" t="s">
        <v>699</v>
      </c>
      <c r="D64" s="15">
        <v>2021</v>
      </c>
      <c r="E64" s="15"/>
      <c r="F64" s="15" t="s">
        <v>406</v>
      </c>
      <c r="G64" s="16" t="s">
        <v>875</v>
      </c>
      <c r="H64" s="102" t="s">
        <v>930</v>
      </c>
      <c r="I64" s="63" t="s">
        <v>931</v>
      </c>
      <c r="J64" s="34" t="s">
        <v>932</v>
      </c>
      <c r="K64" s="68" t="s">
        <v>79</v>
      </c>
      <c r="L64" s="19" t="s">
        <v>55</v>
      </c>
      <c r="M64" s="117" t="s">
        <v>809</v>
      </c>
      <c r="N64" s="111">
        <v>44650</v>
      </c>
      <c r="O64" s="111"/>
      <c r="P64" s="129" t="str">
        <f>TEXT(Table134[[#This Row],[Implementation Due Date]],"YYYY")</f>
        <v>2022</v>
      </c>
      <c r="Q64" s="130" t="str">
        <f>"Q"&amp;ROUNDUP(MONTH(Table134[[#This Row],[Implementation Due Date]])/3,0)</f>
        <v>Q1</v>
      </c>
      <c r="R64" s="98">
        <v>2024</v>
      </c>
      <c r="S64" s="95" t="s">
        <v>890</v>
      </c>
      <c r="T64" s="90"/>
      <c r="U64" s="125" t="s">
        <v>706</v>
      </c>
      <c r="V64" s="73" t="s">
        <v>707</v>
      </c>
      <c r="W64" s="15" t="s">
        <v>706</v>
      </c>
      <c r="X64" s="15"/>
      <c r="Y64" s="26" t="s">
        <v>933</v>
      </c>
      <c r="Z64" s="25"/>
    </row>
    <row r="65" spans="1:26" ht="100.8" x14ac:dyDescent="0.3">
      <c r="A65" s="15">
        <f t="shared" si="0"/>
        <v>62</v>
      </c>
      <c r="B65" s="15" t="s">
        <v>699</v>
      </c>
      <c r="C65" s="15" t="s">
        <v>699</v>
      </c>
      <c r="D65" s="15">
        <v>2021</v>
      </c>
      <c r="E65" s="15"/>
      <c r="F65" s="15" t="s">
        <v>406</v>
      </c>
      <c r="G65" s="16" t="s">
        <v>875</v>
      </c>
      <c r="H65" s="102" t="s">
        <v>934</v>
      </c>
      <c r="I65" s="63" t="s">
        <v>935</v>
      </c>
      <c r="J65" s="34" t="s">
        <v>936</v>
      </c>
      <c r="K65" s="68" t="s">
        <v>79</v>
      </c>
      <c r="L65" s="19" t="s">
        <v>55</v>
      </c>
      <c r="M65" s="117" t="s">
        <v>809</v>
      </c>
      <c r="N65" s="111">
        <v>44742</v>
      </c>
      <c r="O65" s="111"/>
      <c r="P65" s="129" t="str">
        <f>TEXT(Table134[[#This Row],[Implementation Due Date]],"YYYY")</f>
        <v>2022</v>
      </c>
      <c r="Q65" s="130" t="str">
        <f>"Q"&amp;ROUNDUP(MONTH(Table134[[#This Row],[Implementation Due Date]])/3,0)</f>
        <v>Q2</v>
      </c>
      <c r="R65" s="98">
        <v>2023</v>
      </c>
      <c r="S65" s="95" t="s">
        <v>890</v>
      </c>
      <c r="T65" s="90"/>
      <c r="U65" s="125" t="s">
        <v>706</v>
      </c>
      <c r="V65" s="73" t="s">
        <v>707</v>
      </c>
      <c r="W65" s="15" t="s">
        <v>706</v>
      </c>
      <c r="X65" s="15"/>
      <c r="Y65" s="26" t="s">
        <v>937</v>
      </c>
      <c r="Z65" s="25"/>
    </row>
    <row r="66" spans="1:26" ht="172.8" x14ac:dyDescent="0.3">
      <c r="A66" s="15">
        <f t="shared" si="0"/>
        <v>63</v>
      </c>
      <c r="B66" s="15" t="s">
        <v>699</v>
      </c>
      <c r="C66" s="15" t="s">
        <v>699</v>
      </c>
      <c r="D66" s="15">
        <v>2021</v>
      </c>
      <c r="E66" s="15"/>
      <c r="F66" s="15" t="s">
        <v>227</v>
      </c>
      <c r="G66" s="16" t="s">
        <v>875</v>
      </c>
      <c r="H66" s="102" t="s">
        <v>938</v>
      </c>
      <c r="I66" s="63" t="s">
        <v>939</v>
      </c>
      <c r="J66" s="34" t="s">
        <v>31</v>
      </c>
      <c r="K66" s="67" t="s">
        <v>50</v>
      </c>
      <c r="L66" s="19" t="s">
        <v>26</v>
      </c>
      <c r="M66" s="117" t="s">
        <v>820</v>
      </c>
      <c r="N66" s="111">
        <v>44742</v>
      </c>
      <c r="O66" s="111"/>
      <c r="P66" s="129" t="str">
        <f>TEXT(Table134[[#This Row],[Implementation Due Date]],"YYYY")</f>
        <v>2022</v>
      </c>
      <c r="Q66" s="130" t="str">
        <f>"Q"&amp;ROUNDUP(MONTH(Table134[[#This Row],[Implementation Due Date]])/3,0)</f>
        <v>Q2</v>
      </c>
      <c r="R66" s="98">
        <v>2025</v>
      </c>
      <c r="S66" s="95" t="s">
        <v>890</v>
      </c>
      <c r="T66" s="90"/>
      <c r="U66" s="126" t="s">
        <v>706</v>
      </c>
      <c r="V66" s="73" t="s">
        <v>707</v>
      </c>
      <c r="W66" s="15" t="s">
        <v>706</v>
      </c>
      <c r="X66" s="15"/>
      <c r="Y66" s="26" t="s">
        <v>940</v>
      </c>
      <c r="Z66" s="25"/>
    </row>
    <row r="67" spans="1:26" ht="124.2" customHeight="1" x14ac:dyDescent="0.3">
      <c r="A67" s="15">
        <f t="shared" si="0"/>
        <v>64</v>
      </c>
      <c r="B67" s="15" t="s">
        <v>699</v>
      </c>
      <c r="C67" s="15" t="s">
        <v>699</v>
      </c>
      <c r="D67" s="15">
        <v>2021</v>
      </c>
      <c r="E67" s="15"/>
      <c r="F67" s="15" t="s">
        <v>227</v>
      </c>
      <c r="G67" s="16" t="s">
        <v>875</v>
      </c>
      <c r="H67" s="102" t="s">
        <v>941</v>
      </c>
      <c r="I67" s="63" t="s">
        <v>942</v>
      </c>
      <c r="J67" s="34" t="s">
        <v>943</v>
      </c>
      <c r="K67" s="67" t="s">
        <v>50</v>
      </c>
      <c r="L67" s="19" t="s">
        <v>814</v>
      </c>
      <c r="M67" s="118" t="s">
        <v>820</v>
      </c>
      <c r="N67" s="111">
        <v>44742</v>
      </c>
      <c r="O67" s="111"/>
      <c r="P67" s="129" t="str">
        <f>TEXT(Table134[[#This Row],[Implementation Due Date]],"YYYY")</f>
        <v>2022</v>
      </c>
      <c r="Q67" s="130" t="str">
        <f>"Q"&amp;ROUNDUP(MONTH(Table134[[#This Row],[Implementation Due Date]])/3,0)</f>
        <v>Q2</v>
      </c>
      <c r="R67" s="98">
        <v>2025</v>
      </c>
      <c r="S67" s="95" t="s">
        <v>705</v>
      </c>
      <c r="T67" s="90"/>
      <c r="U67" s="126" t="s">
        <v>706</v>
      </c>
      <c r="V67" s="73" t="s">
        <v>707</v>
      </c>
      <c r="W67" s="15" t="s">
        <v>706</v>
      </c>
      <c r="X67" s="15"/>
      <c r="Y67" s="26" t="s">
        <v>944</v>
      </c>
      <c r="Z67" s="25"/>
    </row>
    <row r="68" spans="1:26" ht="129.6" customHeight="1" x14ac:dyDescent="0.3">
      <c r="A68" s="15">
        <f t="shared" si="0"/>
        <v>65</v>
      </c>
      <c r="B68" s="15" t="s">
        <v>699</v>
      </c>
      <c r="C68" s="15" t="s">
        <v>699</v>
      </c>
      <c r="D68" s="15">
        <v>2021</v>
      </c>
      <c r="E68" s="15"/>
      <c r="F68" s="15" t="s">
        <v>227</v>
      </c>
      <c r="G68" s="16" t="s">
        <v>875</v>
      </c>
      <c r="H68" s="102" t="s">
        <v>945</v>
      </c>
      <c r="I68" s="63" t="s">
        <v>946</v>
      </c>
      <c r="J68" s="34" t="s">
        <v>947</v>
      </c>
      <c r="K68" s="68" t="s">
        <v>79</v>
      </c>
      <c r="L68" s="20" t="s">
        <v>26</v>
      </c>
      <c r="M68" s="118" t="s">
        <v>820</v>
      </c>
      <c r="N68" s="111">
        <v>44742</v>
      </c>
      <c r="O68" s="111"/>
      <c r="P68" s="129" t="str">
        <f>TEXT(Table134[[#This Row],[Implementation Due Date]],"YYYY")</f>
        <v>2022</v>
      </c>
      <c r="Q68" s="130" t="str">
        <f>"Q"&amp;ROUNDUP(MONTH(Table134[[#This Row],[Implementation Due Date]])/3,0)</f>
        <v>Q2</v>
      </c>
      <c r="R68" s="98">
        <v>2022</v>
      </c>
      <c r="S68" s="95" t="s">
        <v>705</v>
      </c>
      <c r="T68" s="90"/>
      <c r="U68" s="125" t="s">
        <v>706</v>
      </c>
      <c r="V68" s="73" t="s">
        <v>707</v>
      </c>
      <c r="W68" s="15" t="s">
        <v>706</v>
      </c>
      <c r="X68" s="15"/>
      <c r="Y68" s="26" t="s">
        <v>948</v>
      </c>
      <c r="Z68" s="25"/>
    </row>
    <row r="69" spans="1:26" ht="193.2" x14ac:dyDescent="0.3">
      <c r="A69" s="15">
        <f t="shared" ref="A69:A132" si="1">ROW(A69)-3</f>
        <v>66</v>
      </c>
      <c r="B69" s="15" t="s">
        <v>699</v>
      </c>
      <c r="C69" s="15" t="s">
        <v>699</v>
      </c>
      <c r="D69" s="15">
        <v>2021</v>
      </c>
      <c r="E69" s="15"/>
      <c r="F69" s="15" t="s">
        <v>227</v>
      </c>
      <c r="G69" s="16" t="s">
        <v>875</v>
      </c>
      <c r="H69" s="102" t="s">
        <v>949</v>
      </c>
      <c r="I69" s="63" t="s">
        <v>950</v>
      </c>
      <c r="J69" s="31" t="s">
        <v>951</v>
      </c>
      <c r="K69" s="67" t="s">
        <v>50</v>
      </c>
      <c r="L69" s="20" t="s">
        <v>26</v>
      </c>
      <c r="M69" s="118" t="s">
        <v>820</v>
      </c>
      <c r="N69" s="111">
        <v>44561</v>
      </c>
      <c r="O69" s="111"/>
      <c r="P69" s="129" t="str">
        <f>TEXT(Table134[[#This Row],[Implementation Due Date]],"YYYY")</f>
        <v>2021</v>
      </c>
      <c r="Q69" s="130" t="str">
        <f>"Q"&amp;ROUNDUP(MONTH(Table134[[#This Row],[Implementation Due Date]])/3,0)</f>
        <v>Q4</v>
      </c>
      <c r="R69" s="98">
        <v>2024</v>
      </c>
      <c r="S69" s="95" t="s">
        <v>890</v>
      </c>
      <c r="T69" s="90"/>
      <c r="U69" s="125" t="s">
        <v>706</v>
      </c>
      <c r="V69" s="73" t="s">
        <v>707</v>
      </c>
      <c r="W69" s="15" t="s">
        <v>706</v>
      </c>
      <c r="X69" s="15"/>
      <c r="Y69" s="26" t="s">
        <v>952</v>
      </c>
      <c r="Z69" s="25"/>
    </row>
    <row r="70" spans="1:26" ht="124.2" x14ac:dyDescent="0.3">
      <c r="A70" s="15">
        <f t="shared" si="1"/>
        <v>67</v>
      </c>
      <c r="B70" s="15" t="s">
        <v>699</v>
      </c>
      <c r="C70" s="15" t="s">
        <v>699</v>
      </c>
      <c r="D70" s="15">
        <v>2021</v>
      </c>
      <c r="E70" s="15"/>
      <c r="F70" s="15" t="s">
        <v>227</v>
      </c>
      <c r="G70" s="16" t="s">
        <v>875</v>
      </c>
      <c r="H70" s="102" t="s">
        <v>953</v>
      </c>
      <c r="I70" s="63" t="s">
        <v>954</v>
      </c>
      <c r="J70" s="34" t="s">
        <v>955</v>
      </c>
      <c r="K70" s="67" t="s">
        <v>50</v>
      </c>
      <c r="L70" s="20" t="s">
        <v>55</v>
      </c>
      <c r="M70" s="118" t="s">
        <v>820</v>
      </c>
      <c r="N70" s="111">
        <v>44651</v>
      </c>
      <c r="O70" s="111"/>
      <c r="P70" s="129" t="str">
        <f>TEXT(Table134[[#This Row],[Implementation Due Date]],"YYYY")</f>
        <v>2022</v>
      </c>
      <c r="Q70" s="130" t="str">
        <f>"Q"&amp;ROUNDUP(MONTH(Table134[[#This Row],[Implementation Due Date]])/3,0)</f>
        <v>Q1</v>
      </c>
      <c r="R70" s="98">
        <v>2024</v>
      </c>
      <c r="S70" s="95" t="s">
        <v>890</v>
      </c>
      <c r="T70" s="90"/>
      <c r="U70" s="125" t="s">
        <v>706</v>
      </c>
      <c r="V70" s="73" t="s">
        <v>707</v>
      </c>
      <c r="W70" s="15" t="s">
        <v>706</v>
      </c>
      <c r="X70" s="15"/>
      <c r="Y70" s="26" t="s">
        <v>956</v>
      </c>
      <c r="Z70" s="25"/>
    </row>
    <row r="71" spans="1:26" ht="86.4" x14ac:dyDescent="0.3">
      <c r="A71" s="15">
        <f t="shared" si="1"/>
        <v>68</v>
      </c>
      <c r="B71" s="15" t="s">
        <v>699</v>
      </c>
      <c r="C71" s="15" t="s">
        <v>699</v>
      </c>
      <c r="D71" s="15">
        <v>2021</v>
      </c>
      <c r="E71" s="15"/>
      <c r="F71" s="15" t="s">
        <v>227</v>
      </c>
      <c r="G71" s="16" t="s">
        <v>875</v>
      </c>
      <c r="H71" s="102" t="s">
        <v>957</v>
      </c>
      <c r="I71" s="63" t="s">
        <v>958</v>
      </c>
      <c r="J71" s="31" t="s">
        <v>959</v>
      </c>
      <c r="K71" s="67" t="s">
        <v>50</v>
      </c>
      <c r="L71" s="20" t="s">
        <v>55</v>
      </c>
      <c r="M71" s="118" t="s">
        <v>820</v>
      </c>
      <c r="N71" s="111">
        <v>44651</v>
      </c>
      <c r="O71" s="111"/>
      <c r="P71" s="129" t="str">
        <f>TEXT(Table134[[#This Row],[Implementation Due Date]],"YYYY")</f>
        <v>2022</v>
      </c>
      <c r="Q71" s="130" t="str">
        <f>"Q"&amp;ROUNDUP(MONTH(Table134[[#This Row],[Implementation Due Date]])/3,0)</f>
        <v>Q1</v>
      </c>
      <c r="R71" s="98">
        <v>2023</v>
      </c>
      <c r="S71" s="95" t="s">
        <v>890</v>
      </c>
      <c r="T71" s="90"/>
      <c r="U71" s="125" t="s">
        <v>706</v>
      </c>
      <c r="V71" s="73" t="s">
        <v>707</v>
      </c>
      <c r="W71" s="15" t="s">
        <v>706</v>
      </c>
      <c r="X71" s="15"/>
      <c r="Y71" s="26" t="s">
        <v>960</v>
      </c>
      <c r="Z71" s="25"/>
    </row>
    <row r="72" spans="1:26" ht="110.4" x14ac:dyDescent="0.3">
      <c r="A72" s="15">
        <f t="shared" si="1"/>
        <v>69</v>
      </c>
      <c r="B72" s="15" t="s">
        <v>699</v>
      </c>
      <c r="C72" s="15" t="s">
        <v>699</v>
      </c>
      <c r="D72" s="15">
        <v>2021</v>
      </c>
      <c r="E72" s="15"/>
      <c r="F72" s="15" t="s">
        <v>227</v>
      </c>
      <c r="G72" s="16" t="s">
        <v>875</v>
      </c>
      <c r="H72" s="102" t="s">
        <v>961</v>
      </c>
      <c r="I72" s="63" t="s">
        <v>962</v>
      </c>
      <c r="J72" s="37" t="s">
        <v>963</v>
      </c>
      <c r="K72" s="67" t="s">
        <v>50</v>
      </c>
      <c r="L72" s="19" t="s">
        <v>55</v>
      </c>
      <c r="M72" s="118" t="s">
        <v>820</v>
      </c>
      <c r="N72" s="111">
        <v>44742</v>
      </c>
      <c r="O72" s="111"/>
      <c r="P72" s="129" t="str">
        <f>TEXT(Table134[[#This Row],[Implementation Due Date]],"YYYY")</f>
        <v>2022</v>
      </c>
      <c r="Q72" s="130" t="str">
        <f>"Q"&amp;ROUNDUP(MONTH(Table134[[#This Row],[Implementation Due Date]])/3,0)</f>
        <v>Q2</v>
      </c>
      <c r="R72" s="98">
        <v>2022</v>
      </c>
      <c r="S72" s="95" t="s">
        <v>705</v>
      </c>
      <c r="T72" s="90"/>
      <c r="U72" s="125" t="s">
        <v>706</v>
      </c>
      <c r="V72" s="73" t="s">
        <v>707</v>
      </c>
      <c r="W72" s="15" t="s">
        <v>706</v>
      </c>
      <c r="X72" s="15"/>
      <c r="Y72" s="26" t="s">
        <v>964</v>
      </c>
      <c r="Z72" s="25"/>
    </row>
    <row r="73" spans="1:26" ht="230.4" x14ac:dyDescent="0.3">
      <c r="A73" s="15">
        <f t="shared" si="1"/>
        <v>70</v>
      </c>
      <c r="B73" s="15" t="s">
        <v>699</v>
      </c>
      <c r="C73" s="15" t="s">
        <v>699</v>
      </c>
      <c r="D73" s="15">
        <v>2021</v>
      </c>
      <c r="E73" s="15"/>
      <c r="F73" s="15" t="s">
        <v>227</v>
      </c>
      <c r="G73" s="16" t="s">
        <v>875</v>
      </c>
      <c r="H73" s="102" t="s">
        <v>965</v>
      </c>
      <c r="I73" s="63" t="s">
        <v>966</v>
      </c>
      <c r="J73" s="31" t="s">
        <v>967</v>
      </c>
      <c r="K73" s="68" t="s">
        <v>79</v>
      </c>
      <c r="L73" s="19" t="s">
        <v>55</v>
      </c>
      <c r="M73" s="118" t="s">
        <v>820</v>
      </c>
      <c r="N73" s="111">
        <v>44742</v>
      </c>
      <c r="O73" s="111"/>
      <c r="P73" s="129" t="str">
        <f>TEXT(Table134[[#This Row],[Implementation Due Date]],"YYYY")</f>
        <v>2022</v>
      </c>
      <c r="Q73" s="130" t="str">
        <f>"Q"&amp;ROUNDUP(MONTH(Table134[[#This Row],[Implementation Due Date]])/3,0)</f>
        <v>Q2</v>
      </c>
      <c r="R73" s="98">
        <v>2024</v>
      </c>
      <c r="S73" s="95" t="s">
        <v>711</v>
      </c>
      <c r="T73" s="90"/>
      <c r="U73" s="125" t="s">
        <v>706</v>
      </c>
      <c r="V73" s="73" t="s">
        <v>707</v>
      </c>
      <c r="W73" s="15" t="s">
        <v>706</v>
      </c>
      <c r="X73" s="15"/>
      <c r="Y73" s="26" t="s">
        <v>968</v>
      </c>
      <c r="Z73" s="25"/>
    </row>
    <row r="74" spans="1:26" ht="69" x14ac:dyDescent="0.3">
      <c r="A74" s="15">
        <f t="shared" si="1"/>
        <v>71</v>
      </c>
      <c r="B74" s="15" t="s">
        <v>699</v>
      </c>
      <c r="C74" s="15" t="s">
        <v>699</v>
      </c>
      <c r="D74" s="15">
        <v>2021</v>
      </c>
      <c r="E74" s="15"/>
      <c r="F74" s="15" t="s">
        <v>227</v>
      </c>
      <c r="G74" s="16" t="s">
        <v>875</v>
      </c>
      <c r="H74" s="102" t="s">
        <v>969</v>
      </c>
      <c r="I74" s="63" t="s">
        <v>970</v>
      </c>
      <c r="J74" s="37" t="s">
        <v>971</v>
      </c>
      <c r="K74" s="67" t="s">
        <v>50</v>
      </c>
      <c r="L74" s="19" t="s">
        <v>26</v>
      </c>
      <c r="M74" s="118" t="s">
        <v>820</v>
      </c>
      <c r="N74" s="112">
        <v>44742</v>
      </c>
      <c r="O74" s="112"/>
      <c r="P74" s="129" t="str">
        <f>TEXT(Table134[[#This Row],[Implementation Due Date]],"YYYY")</f>
        <v>2022</v>
      </c>
      <c r="Q74" s="130" t="str">
        <f>"Q"&amp;ROUNDUP(MONTH(Table134[[#This Row],[Implementation Due Date]])/3,0)</f>
        <v>Q2</v>
      </c>
      <c r="R74" s="98">
        <v>2025</v>
      </c>
      <c r="S74" s="95" t="s">
        <v>890</v>
      </c>
      <c r="T74" s="90"/>
      <c r="U74" s="126" t="s">
        <v>706</v>
      </c>
      <c r="V74" s="73" t="s">
        <v>707</v>
      </c>
      <c r="W74" s="15" t="s">
        <v>706</v>
      </c>
      <c r="X74" s="15"/>
      <c r="Y74" s="26" t="s">
        <v>972</v>
      </c>
      <c r="Z74" s="25"/>
    </row>
    <row r="75" spans="1:26" ht="129.6" x14ac:dyDescent="0.3">
      <c r="A75" s="15">
        <f t="shared" si="1"/>
        <v>72</v>
      </c>
      <c r="B75" s="15" t="s">
        <v>699</v>
      </c>
      <c r="C75" s="15" t="s">
        <v>699</v>
      </c>
      <c r="D75" s="15">
        <v>2021</v>
      </c>
      <c r="E75" s="15"/>
      <c r="F75" s="15" t="s">
        <v>227</v>
      </c>
      <c r="G75" s="16" t="s">
        <v>875</v>
      </c>
      <c r="H75" s="102" t="s">
        <v>973</v>
      </c>
      <c r="I75" s="63" t="s">
        <v>974</v>
      </c>
      <c r="J75" s="40" t="s">
        <v>975</v>
      </c>
      <c r="K75" s="67" t="s">
        <v>50</v>
      </c>
      <c r="L75" s="19" t="s">
        <v>26</v>
      </c>
      <c r="M75" s="118" t="s">
        <v>820</v>
      </c>
      <c r="N75" s="111">
        <v>44592</v>
      </c>
      <c r="O75" s="111"/>
      <c r="P75" s="129" t="str">
        <f>TEXT(Table134[[#This Row],[Implementation Due Date]],"YYYY")</f>
        <v>2022</v>
      </c>
      <c r="Q75" s="130" t="str">
        <f>"Q"&amp;ROUNDUP(MONTH(Table134[[#This Row],[Implementation Due Date]])/3,0)</f>
        <v>Q1</v>
      </c>
      <c r="R75" s="98">
        <v>2024</v>
      </c>
      <c r="S75" s="95" t="s">
        <v>711</v>
      </c>
      <c r="T75" s="90"/>
      <c r="U75" s="125" t="s">
        <v>706</v>
      </c>
      <c r="V75" s="73" t="s">
        <v>707</v>
      </c>
      <c r="W75" s="15" t="s">
        <v>706</v>
      </c>
      <c r="X75" s="15"/>
      <c r="Y75" s="26" t="s">
        <v>976</v>
      </c>
      <c r="Z75" s="39"/>
    </row>
    <row r="76" spans="1:26" ht="129.6" x14ac:dyDescent="0.3">
      <c r="A76" s="15">
        <f t="shared" si="1"/>
        <v>73</v>
      </c>
      <c r="B76" s="15" t="s">
        <v>699</v>
      </c>
      <c r="C76" s="15" t="s">
        <v>699</v>
      </c>
      <c r="D76" s="15">
        <v>2021</v>
      </c>
      <c r="E76" s="15"/>
      <c r="F76" s="15" t="s">
        <v>227</v>
      </c>
      <c r="G76" s="16" t="s">
        <v>875</v>
      </c>
      <c r="H76" s="102" t="s">
        <v>977</v>
      </c>
      <c r="I76" s="63" t="s">
        <v>978</v>
      </c>
      <c r="J76" s="25" t="s">
        <v>979</v>
      </c>
      <c r="K76" s="67" t="s">
        <v>50</v>
      </c>
      <c r="L76" s="20" t="s">
        <v>55</v>
      </c>
      <c r="M76" s="118" t="s">
        <v>820</v>
      </c>
      <c r="N76" s="111">
        <v>44561</v>
      </c>
      <c r="O76" s="111"/>
      <c r="P76" s="129" t="str">
        <f>TEXT(Table134[[#This Row],[Implementation Due Date]],"YYYY")</f>
        <v>2021</v>
      </c>
      <c r="Q76" s="130" t="str">
        <f>"Q"&amp;ROUNDUP(MONTH(Table134[[#This Row],[Implementation Due Date]])/3,0)</f>
        <v>Q4</v>
      </c>
      <c r="R76" s="98">
        <v>2021</v>
      </c>
      <c r="S76" s="95" t="s">
        <v>705</v>
      </c>
      <c r="T76" s="90"/>
      <c r="U76" s="125" t="s">
        <v>706</v>
      </c>
      <c r="V76" s="73" t="s">
        <v>707</v>
      </c>
      <c r="W76" s="15" t="s">
        <v>706</v>
      </c>
      <c r="Y76" s="87" t="s">
        <v>980</v>
      </c>
      <c r="Z76" s="42"/>
    </row>
    <row r="77" spans="1:26" ht="316.8" x14ac:dyDescent="0.3">
      <c r="A77" s="15">
        <f t="shared" si="1"/>
        <v>74</v>
      </c>
      <c r="B77" s="15" t="s">
        <v>699</v>
      </c>
      <c r="C77" s="15" t="s">
        <v>699</v>
      </c>
      <c r="D77" s="15">
        <v>2021</v>
      </c>
      <c r="E77" s="15"/>
      <c r="F77" s="15" t="s">
        <v>227</v>
      </c>
      <c r="G77" s="16" t="s">
        <v>875</v>
      </c>
      <c r="H77" s="102" t="s">
        <v>981</v>
      </c>
      <c r="I77" s="63" t="s">
        <v>982</v>
      </c>
      <c r="J77" s="43" t="s">
        <v>983</v>
      </c>
      <c r="K77" s="67" t="s">
        <v>50</v>
      </c>
      <c r="L77" s="19" t="s">
        <v>55</v>
      </c>
      <c r="M77" s="118" t="s">
        <v>820</v>
      </c>
      <c r="N77" s="111">
        <v>44592</v>
      </c>
      <c r="O77" s="111"/>
      <c r="P77" s="129" t="str">
        <f>TEXT(Table134[[#This Row],[Implementation Due Date]],"YYYY")</f>
        <v>2022</v>
      </c>
      <c r="Q77" s="130" t="str">
        <f>"Q"&amp;ROUNDUP(MONTH(Table134[[#This Row],[Implementation Due Date]])/3,0)</f>
        <v>Q1</v>
      </c>
      <c r="R77" s="98">
        <v>2022</v>
      </c>
      <c r="S77" s="95" t="s">
        <v>705</v>
      </c>
      <c r="T77" s="90"/>
      <c r="U77" s="125" t="s">
        <v>706</v>
      </c>
      <c r="V77" s="73" t="s">
        <v>707</v>
      </c>
      <c r="W77" s="15" t="s">
        <v>706</v>
      </c>
      <c r="X77" s="15"/>
      <c r="Y77" s="26" t="s">
        <v>984</v>
      </c>
      <c r="Z77" s="25"/>
    </row>
    <row r="78" spans="1:26" ht="207" x14ac:dyDescent="0.3">
      <c r="A78" s="15">
        <f t="shared" si="1"/>
        <v>75</v>
      </c>
      <c r="B78" s="15" t="s">
        <v>699</v>
      </c>
      <c r="C78" s="15" t="s">
        <v>699</v>
      </c>
      <c r="D78" s="15">
        <v>2021</v>
      </c>
      <c r="E78" s="15"/>
      <c r="F78" s="15" t="s">
        <v>227</v>
      </c>
      <c r="G78" s="16" t="s">
        <v>875</v>
      </c>
      <c r="H78" s="102" t="s">
        <v>221</v>
      </c>
      <c r="I78" s="63" t="s">
        <v>985</v>
      </c>
      <c r="J78" s="25" t="s">
        <v>986</v>
      </c>
      <c r="K78" s="67" t="s">
        <v>50</v>
      </c>
      <c r="L78" s="20" t="s">
        <v>844</v>
      </c>
      <c r="M78" s="118" t="s">
        <v>820</v>
      </c>
      <c r="N78" s="111">
        <v>44742</v>
      </c>
      <c r="O78" s="111"/>
      <c r="P78" s="129" t="str">
        <f>TEXT(Table134[[#This Row],[Implementation Due Date]],"YYYY")</f>
        <v>2022</v>
      </c>
      <c r="Q78" s="130" t="str">
        <f>"Q"&amp;ROUNDUP(MONTH(Table134[[#This Row],[Implementation Due Date]])/3,0)</f>
        <v>Q2</v>
      </c>
      <c r="R78" s="98">
        <v>2024</v>
      </c>
      <c r="S78" s="95" t="s">
        <v>890</v>
      </c>
      <c r="T78" s="90"/>
      <c r="U78" s="125" t="s">
        <v>706</v>
      </c>
      <c r="V78" s="73" t="s">
        <v>707</v>
      </c>
      <c r="W78" s="15" t="s">
        <v>706</v>
      </c>
      <c r="X78" s="15"/>
      <c r="Y78" s="26" t="s">
        <v>987</v>
      </c>
      <c r="Z78" s="25"/>
    </row>
    <row r="79" spans="1:26" ht="129.6" x14ac:dyDescent="0.3">
      <c r="A79" s="15">
        <f t="shared" si="1"/>
        <v>76</v>
      </c>
      <c r="B79" s="15" t="s">
        <v>699</v>
      </c>
      <c r="C79" s="15" t="s">
        <v>699</v>
      </c>
      <c r="D79" s="15">
        <v>2021</v>
      </c>
      <c r="E79" s="15"/>
      <c r="F79" s="15" t="s">
        <v>227</v>
      </c>
      <c r="G79" s="16" t="s">
        <v>875</v>
      </c>
      <c r="H79" s="102" t="s">
        <v>988</v>
      </c>
      <c r="I79" s="63" t="s">
        <v>989</v>
      </c>
      <c r="J79" s="25" t="s">
        <v>990</v>
      </c>
      <c r="K79" s="67" t="s">
        <v>50</v>
      </c>
      <c r="L79" s="20" t="s">
        <v>55</v>
      </c>
      <c r="M79" s="118" t="s">
        <v>820</v>
      </c>
      <c r="N79" s="111">
        <v>44592</v>
      </c>
      <c r="O79" s="111"/>
      <c r="P79" s="129" t="str">
        <f>TEXT(Table134[[#This Row],[Implementation Due Date]],"YYYY")</f>
        <v>2022</v>
      </c>
      <c r="Q79" s="130" t="str">
        <f>"Q"&amp;ROUNDUP(MONTH(Table134[[#This Row],[Implementation Due Date]])/3,0)</f>
        <v>Q1</v>
      </c>
      <c r="R79" s="98">
        <v>2024</v>
      </c>
      <c r="S79" s="95" t="s">
        <v>890</v>
      </c>
      <c r="T79" s="89"/>
      <c r="U79" s="125" t="s">
        <v>706</v>
      </c>
      <c r="V79" s="73" t="s">
        <v>707</v>
      </c>
      <c r="W79" s="15" t="s">
        <v>706</v>
      </c>
      <c r="X79" s="15"/>
      <c r="Y79" s="26" t="s">
        <v>991</v>
      </c>
      <c r="Z79" s="25"/>
    </row>
    <row r="80" spans="1:26" ht="129.6" x14ac:dyDescent="0.3">
      <c r="A80" s="15">
        <f t="shared" si="1"/>
        <v>77</v>
      </c>
      <c r="B80" s="15" t="s">
        <v>699</v>
      </c>
      <c r="C80" s="15" t="s">
        <v>699</v>
      </c>
      <c r="D80" s="15">
        <v>2021</v>
      </c>
      <c r="E80" s="15"/>
      <c r="F80" s="15" t="s">
        <v>227</v>
      </c>
      <c r="G80" s="16" t="s">
        <v>875</v>
      </c>
      <c r="H80" s="102" t="s">
        <v>992</v>
      </c>
      <c r="I80" s="63" t="s">
        <v>993</v>
      </c>
      <c r="J80" s="25" t="s">
        <v>994</v>
      </c>
      <c r="K80" s="68" t="s">
        <v>79</v>
      </c>
      <c r="L80" s="20" t="s">
        <v>55</v>
      </c>
      <c r="M80" s="118" t="s">
        <v>820</v>
      </c>
      <c r="N80" s="113">
        <v>44561</v>
      </c>
      <c r="O80" s="113"/>
      <c r="P80" s="123" t="str">
        <f>TEXT(Table134[[#This Row],[Implementation Due Date]],"YYYY")</f>
        <v>2021</v>
      </c>
      <c r="Q80" s="97" t="str">
        <f>"Q"&amp;ROUNDUP(MONTH(Table134[[#This Row],[Implementation Due Date]])/3,0)</f>
        <v>Q4</v>
      </c>
      <c r="R80" s="98">
        <v>2024</v>
      </c>
      <c r="S80" s="95" t="s">
        <v>711</v>
      </c>
      <c r="T80" s="89"/>
      <c r="U80" s="125" t="s">
        <v>706</v>
      </c>
      <c r="V80" s="73" t="s">
        <v>707</v>
      </c>
      <c r="W80" s="15" t="s">
        <v>706</v>
      </c>
      <c r="X80" s="15"/>
      <c r="Y80" s="26" t="s">
        <v>995</v>
      </c>
      <c r="Z80" s="25"/>
    </row>
    <row r="81" spans="1:26" ht="331.2" x14ac:dyDescent="0.3">
      <c r="A81" s="15">
        <f t="shared" si="1"/>
        <v>78</v>
      </c>
      <c r="B81" s="15" t="s">
        <v>699</v>
      </c>
      <c r="C81" s="15" t="s">
        <v>699</v>
      </c>
      <c r="D81" s="15">
        <v>2021</v>
      </c>
      <c r="E81" s="15"/>
      <c r="F81" s="15" t="s">
        <v>227</v>
      </c>
      <c r="G81" s="16" t="s">
        <v>875</v>
      </c>
      <c r="H81" s="102" t="s">
        <v>996</v>
      </c>
      <c r="I81" s="63" t="s">
        <v>997</v>
      </c>
      <c r="J81" s="25" t="s">
        <v>998</v>
      </c>
      <c r="K81" s="68" t="s">
        <v>79</v>
      </c>
      <c r="L81" s="20" t="s">
        <v>26</v>
      </c>
      <c r="M81" s="118" t="s">
        <v>820</v>
      </c>
      <c r="N81" s="111">
        <v>44651</v>
      </c>
      <c r="O81" s="111"/>
      <c r="P81" s="129" t="str">
        <f>TEXT(Table134[[#This Row],[Implementation Due Date]],"YYYY")</f>
        <v>2022</v>
      </c>
      <c r="Q81" s="130" t="str">
        <f>"Q"&amp;ROUNDUP(MONTH(Table134[[#This Row],[Implementation Due Date]])/3,0)</f>
        <v>Q1</v>
      </c>
      <c r="R81" s="98">
        <v>2022</v>
      </c>
      <c r="S81" s="95" t="s">
        <v>705</v>
      </c>
      <c r="T81" s="89"/>
      <c r="U81" s="125" t="s">
        <v>706</v>
      </c>
      <c r="V81" s="73" t="s">
        <v>707</v>
      </c>
      <c r="W81" s="15" t="s">
        <v>706</v>
      </c>
      <c r="X81" s="15"/>
      <c r="Y81" s="26" t="s">
        <v>999</v>
      </c>
      <c r="Z81" s="25"/>
    </row>
    <row r="82" spans="1:26" ht="187.2" x14ac:dyDescent="0.3">
      <c r="A82" s="15">
        <f t="shared" si="1"/>
        <v>79</v>
      </c>
      <c r="B82" s="15" t="s">
        <v>699</v>
      </c>
      <c r="C82" s="15" t="s">
        <v>699</v>
      </c>
      <c r="D82" s="15">
        <v>2021</v>
      </c>
      <c r="E82" s="15"/>
      <c r="F82" s="15" t="s">
        <v>227</v>
      </c>
      <c r="G82" s="16" t="s">
        <v>875</v>
      </c>
      <c r="H82" s="102" t="s">
        <v>1000</v>
      </c>
      <c r="I82" s="63" t="s">
        <v>1001</v>
      </c>
      <c r="J82" s="25" t="s">
        <v>1002</v>
      </c>
      <c r="K82" s="68" t="s">
        <v>79</v>
      </c>
      <c r="L82" s="20" t="s">
        <v>844</v>
      </c>
      <c r="M82" s="118" t="s">
        <v>820</v>
      </c>
      <c r="N82" s="111">
        <v>44561</v>
      </c>
      <c r="O82" s="111"/>
      <c r="P82" s="129" t="str">
        <f>TEXT(Table134[[#This Row],[Implementation Due Date]],"YYYY")</f>
        <v>2021</v>
      </c>
      <c r="Q82" s="130" t="str">
        <f>"Q"&amp;ROUNDUP(MONTH(Table134[[#This Row],[Implementation Due Date]])/3,0)</f>
        <v>Q4</v>
      </c>
      <c r="R82" s="98">
        <v>2021</v>
      </c>
      <c r="S82" s="95" t="s">
        <v>705</v>
      </c>
      <c r="T82" s="89"/>
      <c r="U82" s="125" t="s">
        <v>706</v>
      </c>
      <c r="V82" s="73" t="s">
        <v>707</v>
      </c>
      <c r="W82" s="15" t="s">
        <v>706</v>
      </c>
      <c r="X82" s="15"/>
      <c r="Y82" s="26" t="s">
        <v>1003</v>
      </c>
      <c r="Z82" s="25"/>
    </row>
    <row r="83" spans="1:26" ht="144" x14ac:dyDescent="0.3">
      <c r="A83" s="15">
        <f t="shared" si="1"/>
        <v>80</v>
      </c>
      <c r="B83" s="15" t="s">
        <v>699</v>
      </c>
      <c r="C83" s="15" t="s">
        <v>699</v>
      </c>
      <c r="D83" s="15">
        <v>2022</v>
      </c>
      <c r="E83" s="15"/>
      <c r="F83" s="15" t="s">
        <v>158</v>
      </c>
      <c r="G83" s="16" t="s">
        <v>158</v>
      </c>
      <c r="H83" s="102" t="s">
        <v>1004</v>
      </c>
      <c r="I83" s="62" t="s">
        <v>1005</v>
      </c>
      <c r="J83" s="25" t="s">
        <v>1006</v>
      </c>
      <c r="K83" s="67" t="s">
        <v>50</v>
      </c>
      <c r="L83" s="20" t="s">
        <v>814</v>
      </c>
      <c r="M83" s="118" t="s">
        <v>1007</v>
      </c>
      <c r="N83" s="111">
        <v>44742</v>
      </c>
      <c r="O83" s="111"/>
      <c r="P83" s="129" t="str">
        <f>TEXT(Table134[[#This Row],[Implementation Due Date]],"YYYY")</f>
        <v>2022</v>
      </c>
      <c r="Q83" s="130" t="str">
        <f>"Q"&amp;ROUNDUP(MONTH(Table134[[#This Row],[Implementation Due Date]])/3,0)</f>
        <v>Q2</v>
      </c>
      <c r="R83" s="98"/>
      <c r="S83" s="95"/>
      <c r="T83" s="89">
        <v>45657</v>
      </c>
      <c r="U83" s="127" t="s">
        <v>845</v>
      </c>
      <c r="V83" s="73">
        <f>$U$2-Table134[[#This Row],[Implementation Due Date]]</f>
        <v>1461</v>
      </c>
      <c r="W83" s="15" t="s">
        <v>846</v>
      </c>
      <c r="X83" s="15"/>
      <c r="Y83" s="26" t="s">
        <v>1008</v>
      </c>
      <c r="Z83" s="25"/>
    </row>
    <row r="84" spans="1:26" ht="331.2" x14ac:dyDescent="0.3">
      <c r="A84" s="15">
        <f t="shared" si="1"/>
        <v>81</v>
      </c>
      <c r="B84" s="15" t="s">
        <v>699</v>
      </c>
      <c r="C84" s="15" t="s">
        <v>699</v>
      </c>
      <c r="D84" s="15">
        <v>2022</v>
      </c>
      <c r="E84" s="15"/>
      <c r="F84" s="15" t="s">
        <v>158</v>
      </c>
      <c r="G84" s="16" t="s">
        <v>158</v>
      </c>
      <c r="H84" s="102" t="s">
        <v>1009</v>
      </c>
      <c r="I84" s="62" t="s">
        <v>1010</v>
      </c>
      <c r="J84" s="25" t="s">
        <v>1011</v>
      </c>
      <c r="K84" s="67" t="s">
        <v>50</v>
      </c>
      <c r="L84" s="20" t="s">
        <v>26</v>
      </c>
      <c r="M84" s="118" t="s">
        <v>1007</v>
      </c>
      <c r="N84" s="111">
        <v>44742</v>
      </c>
      <c r="O84" s="111"/>
      <c r="P84" s="129" t="str">
        <f>TEXT(Table134[[#This Row],[Implementation Due Date]],"YYYY")</f>
        <v>2022</v>
      </c>
      <c r="Q84" s="130" t="str">
        <f>"Q"&amp;ROUNDUP(MONTH(Table134[[#This Row],[Implementation Due Date]])/3,0)</f>
        <v>Q2</v>
      </c>
      <c r="R84" s="98"/>
      <c r="S84" s="95"/>
      <c r="T84" s="90">
        <v>46022</v>
      </c>
      <c r="U84" s="127" t="s">
        <v>845</v>
      </c>
      <c r="V84" s="73">
        <f>$U$2-Table134[[#This Row],[Implementation Due Date]]</f>
        <v>1461</v>
      </c>
      <c r="W84" s="15" t="s">
        <v>846</v>
      </c>
      <c r="X84" s="15"/>
      <c r="Y84" s="26" t="s">
        <v>1012</v>
      </c>
      <c r="Z84" s="25"/>
    </row>
    <row r="85" spans="1:26" ht="331.2" x14ac:dyDescent="0.3">
      <c r="A85" s="15">
        <f t="shared" si="1"/>
        <v>82</v>
      </c>
      <c r="B85" s="15" t="s">
        <v>699</v>
      </c>
      <c r="C85" s="15" t="s">
        <v>699</v>
      </c>
      <c r="D85" s="15">
        <v>2022</v>
      </c>
      <c r="E85" s="15"/>
      <c r="F85" s="15" t="s">
        <v>158</v>
      </c>
      <c r="G85" s="16" t="s">
        <v>158</v>
      </c>
      <c r="H85" s="102" t="s">
        <v>1013</v>
      </c>
      <c r="I85" s="62" t="s">
        <v>1014</v>
      </c>
      <c r="J85" s="25" t="s">
        <v>1015</v>
      </c>
      <c r="K85" s="67" t="s">
        <v>50</v>
      </c>
      <c r="L85" s="20" t="s">
        <v>26</v>
      </c>
      <c r="M85" s="118" t="s">
        <v>1007</v>
      </c>
      <c r="N85" s="111">
        <v>44742</v>
      </c>
      <c r="O85" s="111"/>
      <c r="P85" s="129" t="str">
        <f>TEXT(Table134[[#This Row],[Implementation Due Date]],"YYYY")</f>
        <v>2022</v>
      </c>
      <c r="Q85" s="130" t="str">
        <f>"Q"&amp;ROUNDUP(MONTH(Table134[[#This Row],[Implementation Due Date]])/3,0)</f>
        <v>Q2</v>
      </c>
      <c r="R85" s="98">
        <v>2024</v>
      </c>
      <c r="S85" s="95" t="s">
        <v>711</v>
      </c>
      <c r="T85" s="89"/>
      <c r="U85" s="125" t="s">
        <v>706</v>
      </c>
      <c r="V85" s="73" t="s">
        <v>707</v>
      </c>
      <c r="W85" s="15" t="s">
        <v>706</v>
      </c>
      <c r="X85" s="15"/>
      <c r="Y85" s="26" t="s">
        <v>1016</v>
      </c>
      <c r="Z85" s="25"/>
    </row>
    <row r="86" spans="1:26" ht="288" x14ac:dyDescent="0.3">
      <c r="A86" s="15">
        <f t="shared" si="1"/>
        <v>83</v>
      </c>
      <c r="B86" s="15" t="s">
        <v>699</v>
      </c>
      <c r="C86" s="15" t="s">
        <v>699</v>
      </c>
      <c r="D86" s="15">
        <v>2022</v>
      </c>
      <c r="E86" s="15"/>
      <c r="F86" s="15" t="s">
        <v>158</v>
      </c>
      <c r="G86" s="16" t="s">
        <v>158</v>
      </c>
      <c r="H86" s="102" t="s">
        <v>1017</v>
      </c>
      <c r="I86" s="62" t="s">
        <v>1018</v>
      </c>
      <c r="J86" s="25" t="s">
        <v>1019</v>
      </c>
      <c r="K86" s="67" t="s">
        <v>50</v>
      </c>
      <c r="L86" s="20" t="s">
        <v>26</v>
      </c>
      <c r="M86" s="118" t="s">
        <v>1007</v>
      </c>
      <c r="N86" s="111">
        <v>44742</v>
      </c>
      <c r="O86" s="111"/>
      <c r="P86" s="129" t="str">
        <f>TEXT(Table134[[#This Row],[Implementation Due Date]],"YYYY")</f>
        <v>2022</v>
      </c>
      <c r="Q86" s="130" t="str">
        <f>"Q"&amp;ROUNDUP(MONTH(Table134[[#This Row],[Implementation Due Date]])/3,0)</f>
        <v>Q2</v>
      </c>
      <c r="R86" s="98">
        <v>2024</v>
      </c>
      <c r="S86" s="95" t="s">
        <v>711</v>
      </c>
      <c r="T86" s="89"/>
      <c r="U86" s="125" t="s">
        <v>706</v>
      </c>
      <c r="V86" s="73" t="s">
        <v>707</v>
      </c>
      <c r="W86" s="15" t="s">
        <v>706</v>
      </c>
      <c r="X86" s="15"/>
      <c r="Y86" s="26" t="s">
        <v>1020</v>
      </c>
      <c r="Z86" s="25"/>
    </row>
    <row r="87" spans="1:26" ht="115.2" x14ac:dyDescent="0.3">
      <c r="A87" s="15">
        <f t="shared" si="1"/>
        <v>84</v>
      </c>
      <c r="B87" s="15" t="s">
        <v>699</v>
      </c>
      <c r="C87" s="15" t="s">
        <v>699</v>
      </c>
      <c r="D87" s="15">
        <v>2022</v>
      </c>
      <c r="E87" s="15"/>
      <c r="F87" s="15" t="s">
        <v>158</v>
      </c>
      <c r="G87" s="16" t="s">
        <v>158</v>
      </c>
      <c r="H87" s="102" t="s">
        <v>1021</v>
      </c>
      <c r="I87" s="62" t="s">
        <v>1022</v>
      </c>
      <c r="J87" s="25" t="s">
        <v>1023</v>
      </c>
      <c r="K87" s="67" t="s">
        <v>50</v>
      </c>
      <c r="L87" s="20" t="s">
        <v>516</v>
      </c>
      <c r="M87" s="118" t="s">
        <v>1007</v>
      </c>
      <c r="N87" s="111">
        <v>44742</v>
      </c>
      <c r="O87" s="111"/>
      <c r="P87" s="129" t="str">
        <f>TEXT(Table134[[#This Row],[Implementation Due Date]],"YYYY")</f>
        <v>2022</v>
      </c>
      <c r="Q87" s="130" t="str">
        <f>"Q"&amp;ROUNDUP(MONTH(Table134[[#This Row],[Implementation Due Date]])/3,0)</f>
        <v>Q2</v>
      </c>
      <c r="R87" s="98">
        <v>2024</v>
      </c>
      <c r="S87" s="95" t="s">
        <v>711</v>
      </c>
      <c r="T87" s="90"/>
      <c r="U87" s="125" t="s">
        <v>706</v>
      </c>
      <c r="V87" s="73" t="s">
        <v>707</v>
      </c>
      <c r="W87" s="15" t="s">
        <v>706</v>
      </c>
      <c r="X87" s="15"/>
      <c r="Y87" s="26" t="s">
        <v>1024</v>
      </c>
      <c r="Z87" s="25"/>
    </row>
    <row r="88" spans="1:26" ht="358.8" x14ac:dyDescent="0.3">
      <c r="A88" s="15">
        <f t="shared" si="1"/>
        <v>85</v>
      </c>
      <c r="B88" s="15" t="s">
        <v>699</v>
      </c>
      <c r="C88" s="15" t="s">
        <v>699</v>
      </c>
      <c r="D88" s="15">
        <v>2022</v>
      </c>
      <c r="E88" s="15"/>
      <c r="F88" s="15" t="s">
        <v>158</v>
      </c>
      <c r="G88" s="16" t="s">
        <v>158</v>
      </c>
      <c r="H88" s="102" t="s">
        <v>1025</v>
      </c>
      <c r="I88" s="62" t="s">
        <v>1026</v>
      </c>
      <c r="J88" s="25" t="s">
        <v>1027</v>
      </c>
      <c r="K88" s="67" t="s">
        <v>50</v>
      </c>
      <c r="L88" s="20" t="s">
        <v>26</v>
      </c>
      <c r="M88" s="118" t="s">
        <v>1007</v>
      </c>
      <c r="N88" s="111">
        <v>44865</v>
      </c>
      <c r="O88" s="111"/>
      <c r="P88" s="129" t="str">
        <f>TEXT(Table134[[#This Row],[Implementation Due Date]],"YYYY")</f>
        <v>2022</v>
      </c>
      <c r="Q88" s="130" t="str">
        <f>"Q"&amp;ROUNDUP(MONTH(Table134[[#This Row],[Implementation Due Date]])/3,0)</f>
        <v>Q4</v>
      </c>
      <c r="R88" s="98">
        <v>2023</v>
      </c>
      <c r="S88" s="95" t="s">
        <v>890</v>
      </c>
      <c r="T88" s="89"/>
      <c r="U88" s="125" t="s">
        <v>706</v>
      </c>
      <c r="V88" s="73" t="s">
        <v>707</v>
      </c>
      <c r="W88" s="15" t="s">
        <v>706</v>
      </c>
      <c r="X88" s="15"/>
      <c r="Y88" s="26" t="s">
        <v>1028</v>
      </c>
      <c r="Z88" s="25"/>
    </row>
    <row r="89" spans="1:26" ht="230.4" x14ac:dyDescent="0.3">
      <c r="A89" s="15">
        <f t="shared" si="1"/>
        <v>86</v>
      </c>
      <c r="B89" s="15" t="s">
        <v>699</v>
      </c>
      <c r="C89" s="15" t="s">
        <v>699</v>
      </c>
      <c r="D89" s="15">
        <v>2022</v>
      </c>
      <c r="E89" s="15"/>
      <c r="F89" s="15" t="s">
        <v>158</v>
      </c>
      <c r="G89" s="16" t="s">
        <v>158</v>
      </c>
      <c r="H89" s="102" t="s">
        <v>1029</v>
      </c>
      <c r="I89" s="62" t="s">
        <v>1030</v>
      </c>
      <c r="J89" s="25" t="s">
        <v>1031</v>
      </c>
      <c r="K89" s="67" t="s">
        <v>50</v>
      </c>
      <c r="L89" s="20" t="s">
        <v>26</v>
      </c>
      <c r="M89" s="118" t="s">
        <v>1007</v>
      </c>
      <c r="N89" s="111">
        <v>44865</v>
      </c>
      <c r="O89" s="111"/>
      <c r="P89" s="129" t="str">
        <f>TEXT(Table134[[#This Row],[Implementation Due Date]],"YYYY")</f>
        <v>2022</v>
      </c>
      <c r="Q89" s="130" t="str">
        <f>"Q"&amp;ROUNDUP(MONTH(Table134[[#This Row],[Implementation Due Date]])/3,0)</f>
        <v>Q4</v>
      </c>
      <c r="R89" s="98"/>
      <c r="S89" s="95"/>
      <c r="T89" s="89">
        <v>46022</v>
      </c>
      <c r="U89" s="127" t="s">
        <v>845</v>
      </c>
      <c r="V89" s="73">
        <f>$U$2-Table134[[#This Row],[Implementation Due Date]]</f>
        <v>1338</v>
      </c>
      <c r="W89" s="15" t="s">
        <v>846</v>
      </c>
      <c r="X89" s="15"/>
      <c r="Y89" s="26" t="s">
        <v>1032</v>
      </c>
      <c r="Z89" s="25"/>
    </row>
    <row r="90" spans="1:26" ht="409.6" x14ac:dyDescent="0.3">
      <c r="A90" s="15">
        <f t="shared" si="1"/>
        <v>87</v>
      </c>
      <c r="B90" s="15" t="s">
        <v>699</v>
      </c>
      <c r="C90" s="15" t="s">
        <v>699</v>
      </c>
      <c r="D90" s="15">
        <v>2022</v>
      </c>
      <c r="E90" s="15"/>
      <c r="F90" s="15" t="s">
        <v>158</v>
      </c>
      <c r="G90" s="16" t="s">
        <v>158</v>
      </c>
      <c r="H90" s="102" t="s">
        <v>1033</v>
      </c>
      <c r="I90" s="62" t="s">
        <v>1034</v>
      </c>
      <c r="J90" s="25" t="s">
        <v>1035</v>
      </c>
      <c r="K90" s="67" t="s">
        <v>50</v>
      </c>
      <c r="L90" s="20" t="s">
        <v>26</v>
      </c>
      <c r="M90" s="118" t="s">
        <v>1007</v>
      </c>
      <c r="N90" s="111">
        <v>44865</v>
      </c>
      <c r="O90" s="111"/>
      <c r="P90" s="129" t="str">
        <f>TEXT(Table134[[#This Row],[Implementation Due Date]],"YYYY")</f>
        <v>2022</v>
      </c>
      <c r="Q90" s="130" t="str">
        <f>"Q"&amp;ROUNDUP(MONTH(Table134[[#This Row],[Implementation Due Date]])/3,0)</f>
        <v>Q4</v>
      </c>
      <c r="R90" s="98"/>
      <c r="S90" s="95"/>
      <c r="T90" s="89">
        <v>46022</v>
      </c>
      <c r="U90" s="127" t="s">
        <v>845</v>
      </c>
      <c r="V90" s="73">
        <f>$U$2-Table134[[#This Row],[Implementation Due Date]]</f>
        <v>1338</v>
      </c>
      <c r="W90" s="15" t="s">
        <v>846</v>
      </c>
      <c r="X90" s="15"/>
      <c r="Y90" s="26" t="s">
        <v>1036</v>
      </c>
      <c r="Z90" s="25"/>
    </row>
    <row r="91" spans="1:26" ht="72" x14ac:dyDescent="0.3">
      <c r="A91" s="15">
        <f t="shared" si="1"/>
        <v>88</v>
      </c>
      <c r="B91" s="15" t="s">
        <v>699</v>
      </c>
      <c r="C91" s="15" t="s">
        <v>699</v>
      </c>
      <c r="D91" s="15">
        <v>2022</v>
      </c>
      <c r="E91" s="15"/>
      <c r="F91" s="15" t="s">
        <v>158</v>
      </c>
      <c r="G91" s="16" t="s">
        <v>158</v>
      </c>
      <c r="H91" s="102" t="s">
        <v>1037</v>
      </c>
      <c r="I91" s="62" t="s">
        <v>1038</v>
      </c>
      <c r="J91" s="25" t="s">
        <v>1039</v>
      </c>
      <c r="K91" s="67" t="s">
        <v>50</v>
      </c>
      <c r="L91" s="20" t="s">
        <v>516</v>
      </c>
      <c r="M91" s="118" t="s">
        <v>1007</v>
      </c>
      <c r="N91" s="111">
        <v>44651</v>
      </c>
      <c r="O91" s="111"/>
      <c r="P91" s="129" t="str">
        <f>TEXT(Table134[[#This Row],[Implementation Due Date]],"YYYY")</f>
        <v>2022</v>
      </c>
      <c r="Q91" s="130" t="str">
        <f>"Q"&amp;ROUNDUP(MONTH(Table134[[#This Row],[Implementation Due Date]])/3,0)</f>
        <v>Q1</v>
      </c>
      <c r="R91" s="98">
        <v>2022</v>
      </c>
      <c r="S91" s="95" t="s">
        <v>705</v>
      </c>
      <c r="T91" s="89"/>
      <c r="U91" s="125" t="s">
        <v>706</v>
      </c>
      <c r="V91" s="73" t="s">
        <v>707</v>
      </c>
      <c r="W91" s="15" t="s">
        <v>706</v>
      </c>
      <c r="X91" s="15"/>
      <c r="Y91" s="26" t="s">
        <v>1040</v>
      </c>
      <c r="Z91" s="25"/>
    </row>
    <row r="92" spans="1:26" ht="129.6" x14ac:dyDescent="0.3">
      <c r="A92" s="15">
        <f t="shared" si="1"/>
        <v>89</v>
      </c>
      <c r="B92" s="15" t="s">
        <v>699</v>
      </c>
      <c r="C92" s="15" t="s">
        <v>699</v>
      </c>
      <c r="D92" s="15">
        <v>2022</v>
      </c>
      <c r="E92" s="15"/>
      <c r="F92" s="15" t="s">
        <v>158</v>
      </c>
      <c r="G92" s="16" t="s">
        <v>158</v>
      </c>
      <c r="H92" s="102" t="s">
        <v>1041</v>
      </c>
      <c r="I92" s="62" t="s">
        <v>1042</v>
      </c>
      <c r="J92" s="25" t="s">
        <v>1043</v>
      </c>
      <c r="K92" s="67" t="s">
        <v>50</v>
      </c>
      <c r="L92" s="20" t="s">
        <v>37</v>
      </c>
      <c r="M92" s="118" t="s">
        <v>1007</v>
      </c>
      <c r="N92" s="111">
        <v>44865</v>
      </c>
      <c r="O92" s="111"/>
      <c r="P92" s="129" t="str">
        <f>TEXT(Table134[[#This Row],[Implementation Due Date]],"YYYY")</f>
        <v>2022</v>
      </c>
      <c r="Q92" s="130" t="str">
        <f>"Q"&amp;ROUNDUP(MONTH(Table134[[#This Row],[Implementation Due Date]])/3,0)</f>
        <v>Q4</v>
      </c>
      <c r="R92" s="98">
        <v>2023</v>
      </c>
      <c r="S92" s="95" t="s">
        <v>890</v>
      </c>
      <c r="T92" s="89"/>
      <c r="U92" s="125" t="s">
        <v>706</v>
      </c>
      <c r="V92" s="73" t="s">
        <v>707</v>
      </c>
      <c r="W92" s="15" t="s">
        <v>706</v>
      </c>
      <c r="X92" s="15"/>
      <c r="Y92" s="26" t="s">
        <v>1044</v>
      </c>
      <c r="Z92" s="25"/>
    </row>
    <row r="93" spans="1:26" ht="220.8" x14ac:dyDescent="0.3">
      <c r="A93" s="15">
        <f t="shared" si="1"/>
        <v>90</v>
      </c>
      <c r="B93" s="15" t="s">
        <v>699</v>
      </c>
      <c r="C93" s="15" t="s">
        <v>699</v>
      </c>
      <c r="D93" s="15">
        <v>2022</v>
      </c>
      <c r="E93" s="15"/>
      <c r="F93" s="15" t="s">
        <v>158</v>
      </c>
      <c r="G93" s="16" t="s">
        <v>158</v>
      </c>
      <c r="H93" s="102" t="s">
        <v>1045</v>
      </c>
      <c r="I93" s="62" t="s">
        <v>1046</v>
      </c>
      <c r="J93" s="25" t="s">
        <v>1047</v>
      </c>
      <c r="K93" s="68" t="s">
        <v>79</v>
      </c>
      <c r="L93" s="20" t="s">
        <v>26</v>
      </c>
      <c r="M93" s="118" t="s">
        <v>1007</v>
      </c>
      <c r="N93" s="111">
        <v>44865</v>
      </c>
      <c r="O93" s="111"/>
      <c r="P93" s="129" t="str">
        <f>TEXT(Table134[[#This Row],[Implementation Due Date]],"YYYY")</f>
        <v>2022</v>
      </c>
      <c r="Q93" s="130" t="str">
        <f>"Q"&amp;ROUNDUP(MONTH(Table134[[#This Row],[Implementation Due Date]])/3,0)</f>
        <v>Q4</v>
      </c>
      <c r="R93" s="98">
        <v>2025</v>
      </c>
      <c r="S93" s="95" t="s">
        <v>711</v>
      </c>
      <c r="T93" s="90"/>
      <c r="U93" s="125" t="s">
        <v>706</v>
      </c>
      <c r="V93" s="73" t="s">
        <v>707</v>
      </c>
      <c r="W93" s="15" t="s">
        <v>706</v>
      </c>
      <c r="X93" s="15"/>
      <c r="Y93" s="26" t="s">
        <v>1048</v>
      </c>
      <c r="Z93" s="25"/>
    </row>
    <row r="94" spans="1:26" ht="244.8" x14ac:dyDescent="0.3">
      <c r="A94" s="15">
        <f t="shared" si="1"/>
        <v>91</v>
      </c>
      <c r="B94" s="15" t="s">
        <v>699</v>
      </c>
      <c r="C94" s="15" t="s">
        <v>699</v>
      </c>
      <c r="D94" s="15">
        <v>2022</v>
      </c>
      <c r="E94" s="15"/>
      <c r="F94" s="15" t="s">
        <v>1049</v>
      </c>
      <c r="G94" s="16" t="s">
        <v>1050</v>
      </c>
      <c r="H94" s="102" t="s">
        <v>1051</v>
      </c>
      <c r="I94" s="63" t="s">
        <v>1052</v>
      </c>
      <c r="J94" s="25" t="s">
        <v>1053</v>
      </c>
      <c r="K94" s="67" t="s">
        <v>50</v>
      </c>
      <c r="L94" s="20" t="s">
        <v>26</v>
      </c>
      <c r="M94" s="118" t="s">
        <v>411</v>
      </c>
      <c r="N94" s="111">
        <v>44742</v>
      </c>
      <c r="O94" s="111"/>
      <c r="P94" s="129" t="str">
        <f>TEXT(Table134[[#This Row],[Implementation Due Date]],"YYYY")</f>
        <v>2022</v>
      </c>
      <c r="Q94" s="130" t="str">
        <f>"Q"&amp;ROUNDUP(MONTH(Table134[[#This Row],[Implementation Due Date]])/3,0)</f>
        <v>Q2</v>
      </c>
      <c r="R94" s="98">
        <v>2024</v>
      </c>
      <c r="S94" s="95" t="s">
        <v>711</v>
      </c>
      <c r="T94" s="90"/>
      <c r="U94" s="125" t="s">
        <v>706</v>
      </c>
      <c r="V94" s="73" t="s">
        <v>707</v>
      </c>
      <c r="W94" s="15" t="s">
        <v>706</v>
      </c>
      <c r="X94" s="15"/>
      <c r="Y94" s="26" t="s">
        <v>1054</v>
      </c>
      <c r="Z94" s="25"/>
    </row>
    <row r="95" spans="1:26" ht="201.6" x14ac:dyDescent="0.3">
      <c r="A95" s="15">
        <f t="shared" si="1"/>
        <v>92</v>
      </c>
      <c r="B95" s="15" t="s">
        <v>699</v>
      </c>
      <c r="C95" s="15" t="s">
        <v>699</v>
      </c>
      <c r="D95" s="15">
        <v>2022</v>
      </c>
      <c r="E95" s="15"/>
      <c r="F95" s="15" t="s">
        <v>731</v>
      </c>
      <c r="G95" s="16" t="s">
        <v>1050</v>
      </c>
      <c r="H95" s="102" t="s">
        <v>1055</v>
      </c>
      <c r="I95" s="63" t="s">
        <v>1056</v>
      </c>
      <c r="J95" s="25" t="s">
        <v>1057</v>
      </c>
      <c r="K95" s="67" t="s">
        <v>50</v>
      </c>
      <c r="L95" s="20" t="s">
        <v>26</v>
      </c>
      <c r="M95" s="118" t="s">
        <v>834</v>
      </c>
      <c r="N95" s="111">
        <v>44711</v>
      </c>
      <c r="O95" s="111"/>
      <c r="P95" s="129" t="str">
        <f>TEXT(Table134[[#This Row],[Implementation Due Date]],"YYYY")</f>
        <v>2022</v>
      </c>
      <c r="Q95" s="130" t="str">
        <f>"Q"&amp;ROUNDUP(MONTH(Table134[[#This Row],[Implementation Due Date]])/3,0)</f>
        <v>Q2</v>
      </c>
      <c r="R95" s="98"/>
      <c r="S95" s="95"/>
      <c r="T95" s="89">
        <v>46022</v>
      </c>
      <c r="U95" s="127" t="s">
        <v>845</v>
      </c>
      <c r="V95" s="73">
        <f>$U$2-Table134[[#This Row],[Implementation Due Date]]</f>
        <v>1492</v>
      </c>
      <c r="W95" s="15" t="s">
        <v>846</v>
      </c>
      <c r="X95" s="15"/>
      <c r="Y95" s="26" t="s">
        <v>1058</v>
      </c>
      <c r="Z95" s="25"/>
    </row>
    <row r="96" spans="1:26" ht="216" x14ac:dyDescent="0.3">
      <c r="A96" s="15">
        <f t="shared" si="1"/>
        <v>93</v>
      </c>
      <c r="B96" s="15" t="s">
        <v>699</v>
      </c>
      <c r="C96" s="15" t="s">
        <v>699</v>
      </c>
      <c r="D96" s="15">
        <v>2022</v>
      </c>
      <c r="E96" s="15"/>
      <c r="F96" s="15" t="s">
        <v>731</v>
      </c>
      <c r="G96" s="16" t="s">
        <v>1050</v>
      </c>
      <c r="H96" s="102" t="s">
        <v>1059</v>
      </c>
      <c r="I96" s="63" t="s">
        <v>1060</v>
      </c>
      <c r="J96" s="25" t="s">
        <v>1061</v>
      </c>
      <c r="K96" s="67" t="s">
        <v>50</v>
      </c>
      <c r="L96" s="20" t="s">
        <v>26</v>
      </c>
      <c r="M96" s="118" t="s">
        <v>834</v>
      </c>
      <c r="N96" s="111">
        <v>44742</v>
      </c>
      <c r="O96" s="111"/>
      <c r="P96" s="129" t="str">
        <f>TEXT(Table134[[#This Row],[Implementation Due Date]],"YYYY")</f>
        <v>2022</v>
      </c>
      <c r="Q96" s="130" t="str">
        <f>"Q"&amp;ROUNDUP(MONTH(Table134[[#This Row],[Implementation Due Date]])/3,0)</f>
        <v>Q2</v>
      </c>
      <c r="R96" s="98"/>
      <c r="S96" s="95"/>
      <c r="T96" s="89">
        <v>46022</v>
      </c>
      <c r="U96" s="127" t="s">
        <v>845</v>
      </c>
      <c r="V96" s="73">
        <f>$U$2-Table134[[#This Row],[Implementation Due Date]]</f>
        <v>1461</v>
      </c>
      <c r="W96" s="15" t="s">
        <v>846</v>
      </c>
      <c r="X96" s="15"/>
      <c r="Y96" s="26" t="s">
        <v>1062</v>
      </c>
      <c r="Z96" s="25"/>
    </row>
    <row r="97" spans="1:26" ht="331.2" x14ac:dyDescent="0.3">
      <c r="A97" s="15">
        <f t="shared" si="1"/>
        <v>94</v>
      </c>
      <c r="B97" s="15" t="s">
        <v>699</v>
      </c>
      <c r="C97" s="15" t="s">
        <v>699</v>
      </c>
      <c r="D97" s="15">
        <v>2022</v>
      </c>
      <c r="E97" s="15"/>
      <c r="F97" s="15" t="s">
        <v>731</v>
      </c>
      <c r="G97" s="16" t="s">
        <v>1050</v>
      </c>
      <c r="H97" s="102" t="s">
        <v>1063</v>
      </c>
      <c r="I97" s="63" t="s">
        <v>1064</v>
      </c>
      <c r="J97" s="25" t="s">
        <v>1065</v>
      </c>
      <c r="K97" s="67" t="s">
        <v>50</v>
      </c>
      <c r="L97" s="20" t="s">
        <v>26</v>
      </c>
      <c r="M97" s="118" t="s">
        <v>834</v>
      </c>
      <c r="N97" s="111">
        <v>44711</v>
      </c>
      <c r="O97" s="111"/>
      <c r="P97" s="129" t="str">
        <f>TEXT(Table134[[#This Row],[Implementation Due Date]],"YYYY")</f>
        <v>2022</v>
      </c>
      <c r="Q97" s="130" t="str">
        <f>"Q"&amp;ROUNDUP(MONTH(Table134[[#This Row],[Implementation Due Date]])/3,0)</f>
        <v>Q2</v>
      </c>
      <c r="R97" s="98">
        <v>2024</v>
      </c>
      <c r="S97" s="95" t="s">
        <v>890</v>
      </c>
      <c r="T97" s="89"/>
      <c r="U97" s="125" t="s">
        <v>706</v>
      </c>
      <c r="V97" s="73" t="s">
        <v>707</v>
      </c>
      <c r="W97" s="15" t="s">
        <v>706</v>
      </c>
      <c r="X97" s="15"/>
      <c r="Y97" s="26" t="s">
        <v>1066</v>
      </c>
      <c r="Z97" s="25"/>
    </row>
    <row r="98" spans="1:26" ht="172.8" x14ac:dyDescent="0.3">
      <c r="A98" s="15">
        <f t="shared" si="1"/>
        <v>95</v>
      </c>
      <c r="B98" s="15" t="s">
        <v>699</v>
      </c>
      <c r="C98" s="15" t="s">
        <v>699</v>
      </c>
      <c r="D98" s="15">
        <v>2022</v>
      </c>
      <c r="E98" s="15"/>
      <c r="F98" s="15" t="s">
        <v>731</v>
      </c>
      <c r="G98" s="16" t="s">
        <v>1050</v>
      </c>
      <c r="H98" s="102" t="s">
        <v>1067</v>
      </c>
      <c r="I98" s="63" t="s">
        <v>1068</v>
      </c>
      <c r="J98" s="25" t="s">
        <v>1069</v>
      </c>
      <c r="K98" s="67" t="s">
        <v>50</v>
      </c>
      <c r="L98" s="20" t="s">
        <v>814</v>
      </c>
      <c r="M98" s="118" t="s">
        <v>1070</v>
      </c>
      <c r="N98" s="111">
        <v>44742</v>
      </c>
      <c r="O98" s="111"/>
      <c r="P98" s="129" t="str">
        <f>TEXT(Table134[[#This Row],[Implementation Due Date]],"YYYY")</f>
        <v>2022</v>
      </c>
      <c r="Q98" s="130" t="str">
        <f>"Q"&amp;ROUNDUP(MONTH(Table134[[#This Row],[Implementation Due Date]])/3,0)</f>
        <v>Q2</v>
      </c>
      <c r="R98" s="98"/>
      <c r="S98" s="95"/>
      <c r="T98" s="89">
        <v>46022</v>
      </c>
      <c r="U98" s="127" t="s">
        <v>845</v>
      </c>
      <c r="V98" s="73">
        <f>$U$2-Table134[[#This Row],[Implementation Due Date]]</f>
        <v>1461</v>
      </c>
      <c r="W98" s="15" t="s">
        <v>846</v>
      </c>
      <c r="X98" s="15"/>
      <c r="Y98" s="26" t="s">
        <v>1071</v>
      </c>
      <c r="Z98" s="25"/>
    </row>
    <row r="99" spans="1:26" ht="201.6" x14ac:dyDescent="0.3">
      <c r="A99" s="15">
        <f t="shared" si="1"/>
        <v>96</v>
      </c>
      <c r="B99" s="15" t="s">
        <v>699</v>
      </c>
      <c r="C99" s="15" t="s">
        <v>699</v>
      </c>
      <c r="D99" s="15">
        <v>2022</v>
      </c>
      <c r="E99" s="15"/>
      <c r="F99" s="15" t="s">
        <v>1049</v>
      </c>
      <c r="G99" s="16" t="s">
        <v>1050</v>
      </c>
      <c r="H99" s="102" t="s">
        <v>1072</v>
      </c>
      <c r="I99" s="63" t="s">
        <v>1073</v>
      </c>
      <c r="J99" s="25" t="s">
        <v>1074</v>
      </c>
      <c r="K99" s="67" t="s">
        <v>50</v>
      </c>
      <c r="L99" s="20" t="s">
        <v>55</v>
      </c>
      <c r="M99" s="118" t="s">
        <v>411</v>
      </c>
      <c r="N99" s="111">
        <v>44742</v>
      </c>
      <c r="O99" s="111"/>
      <c r="P99" s="129" t="str">
        <f>TEXT(Table134[[#This Row],[Implementation Due Date]],"YYYY")</f>
        <v>2022</v>
      </c>
      <c r="Q99" s="130" t="str">
        <f>"Q"&amp;ROUNDUP(MONTH(Table134[[#This Row],[Implementation Due Date]])/3,0)</f>
        <v>Q2</v>
      </c>
      <c r="R99" s="98">
        <v>2024</v>
      </c>
      <c r="S99" s="95" t="s">
        <v>890</v>
      </c>
      <c r="T99" s="89"/>
      <c r="U99" s="125" t="s">
        <v>706</v>
      </c>
      <c r="V99" s="73" t="s">
        <v>707</v>
      </c>
      <c r="W99" s="15" t="s">
        <v>706</v>
      </c>
      <c r="X99" s="15"/>
      <c r="Y99" s="26" t="s">
        <v>1075</v>
      </c>
      <c r="Z99" s="25"/>
    </row>
    <row r="100" spans="1:26" ht="316.8" x14ac:dyDescent="0.3">
      <c r="A100" s="15">
        <f t="shared" si="1"/>
        <v>97</v>
      </c>
      <c r="B100" s="15" t="s">
        <v>699</v>
      </c>
      <c r="C100" s="15" t="s">
        <v>699</v>
      </c>
      <c r="D100" s="15">
        <v>2022</v>
      </c>
      <c r="E100" s="15"/>
      <c r="F100" s="15" t="s">
        <v>1049</v>
      </c>
      <c r="G100" s="16" t="s">
        <v>1050</v>
      </c>
      <c r="H100" s="102" t="s">
        <v>1076</v>
      </c>
      <c r="I100" s="63" t="s">
        <v>1077</v>
      </c>
      <c r="J100" s="25" t="s">
        <v>1078</v>
      </c>
      <c r="K100" s="67" t="s">
        <v>50</v>
      </c>
      <c r="L100" s="20" t="s">
        <v>55</v>
      </c>
      <c r="M100" s="118" t="s">
        <v>411</v>
      </c>
      <c r="N100" s="111">
        <v>44742</v>
      </c>
      <c r="O100" s="111"/>
      <c r="P100" s="129" t="str">
        <f>TEXT(Table134[[#This Row],[Implementation Due Date]],"YYYY")</f>
        <v>2022</v>
      </c>
      <c r="Q100" s="130" t="str">
        <f>"Q"&amp;ROUNDUP(MONTH(Table134[[#This Row],[Implementation Due Date]])/3,0)</f>
        <v>Q2</v>
      </c>
      <c r="R100" s="98">
        <v>2024</v>
      </c>
      <c r="S100" s="95" t="s">
        <v>890</v>
      </c>
      <c r="T100" s="89"/>
      <c r="U100" s="125" t="s">
        <v>706</v>
      </c>
      <c r="V100" s="73" t="s">
        <v>707</v>
      </c>
      <c r="W100" s="15" t="s">
        <v>706</v>
      </c>
      <c r="X100" s="15"/>
      <c r="Y100" s="26" t="s">
        <v>1079</v>
      </c>
      <c r="Z100" s="25"/>
    </row>
    <row r="101" spans="1:26" ht="216" x14ac:dyDescent="0.3">
      <c r="A101" s="15">
        <f t="shared" si="1"/>
        <v>98</v>
      </c>
      <c r="B101" s="15" t="s">
        <v>699</v>
      </c>
      <c r="C101" s="15" t="s">
        <v>699</v>
      </c>
      <c r="D101" s="15">
        <v>2022</v>
      </c>
      <c r="E101" s="15"/>
      <c r="F101" s="15" t="s">
        <v>731</v>
      </c>
      <c r="G101" s="16" t="s">
        <v>1050</v>
      </c>
      <c r="H101" s="102" t="s">
        <v>1080</v>
      </c>
      <c r="I101" s="63" t="s">
        <v>1081</v>
      </c>
      <c r="J101" s="25" t="s">
        <v>1082</v>
      </c>
      <c r="K101" s="67" t="s">
        <v>50</v>
      </c>
      <c r="L101" s="20" t="s">
        <v>55</v>
      </c>
      <c r="M101" s="118" t="s">
        <v>411</v>
      </c>
      <c r="N101" s="111">
        <v>44742</v>
      </c>
      <c r="O101" s="111"/>
      <c r="P101" s="129" t="str">
        <f>TEXT(Table134[[#This Row],[Implementation Due Date]],"YYYY")</f>
        <v>2022</v>
      </c>
      <c r="Q101" s="130" t="str">
        <f>"Q"&amp;ROUNDUP(MONTH(Table134[[#This Row],[Implementation Due Date]])/3,0)</f>
        <v>Q2</v>
      </c>
      <c r="R101" s="98">
        <v>2023</v>
      </c>
      <c r="S101" s="95" t="s">
        <v>705</v>
      </c>
      <c r="T101" s="89"/>
      <c r="U101" s="125" t="s">
        <v>706</v>
      </c>
      <c r="V101" s="73" t="s">
        <v>707</v>
      </c>
      <c r="W101" s="15" t="s">
        <v>706</v>
      </c>
      <c r="X101" s="15"/>
      <c r="Y101" s="26" t="s">
        <v>1083</v>
      </c>
      <c r="Z101" s="25"/>
    </row>
    <row r="102" spans="1:26" ht="115.2" x14ac:dyDescent="0.3">
      <c r="A102" s="15">
        <f t="shared" si="1"/>
        <v>99</v>
      </c>
      <c r="B102" s="15" t="s">
        <v>699</v>
      </c>
      <c r="C102" s="15" t="s">
        <v>699</v>
      </c>
      <c r="D102" s="15">
        <v>2022</v>
      </c>
      <c r="E102" s="15"/>
      <c r="F102" s="15" t="s">
        <v>1049</v>
      </c>
      <c r="G102" s="16" t="s">
        <v>1050</v>
      </c>
      <c r="H102" s="102" t="s">
        <v>1084</v>
      </c>
      <c r="I102" s="63" t="s">
        <v>1085</v>
      </c>
      <c r="J102" s="25" t="s">
        <v>1086</v>
      </c>
      <c r="K102" s="67" t="s">
        <v>50</v>
      </c>
      <c r="L102" s="20" t="s">
        <v>26</v>
      </c>
      <c r="M102" s="118" t="s">
        <v>411</v>
      </c>
      <c r="N102" s="111">
        <v>44711</v>
      </c>
      <c r="O102" s="111"/>
      <c r="P102" s="129" t="str">
        <f>TEXT(Table134[[#This Row],[Implementation Due Date]],"YYYY")</f>
        <v>2022</v>
      </c>
      <c r="Q102" s="130" t="str">
        <f>"Q"&amp;ROUNDUP(MONTH(Table134[[#This Row],[Implementation Due Date]])/3,0)</f>
        <v>Q2</v>
      </c>
      <c r="R102" s="98">
        <v>2024</v>
      </c>
      <c r="S102" s="95" t="s">
        <v>711</v>
      </c>
      <c r="T102" s="90"/>
      <c r="U102" s="125" t="s">
        <v>706</v>
      </c>
      <c r="V102" s="73" t="s">
        <v>707</v>
      </c>
      <c r="W102" s="15" t="s">
        <v>706</v>
      </c>
      <c r="X102" s="15"/>
      <c r="Y102" s="26" t="s">
        <v>1087</v>
      </c>
      <c r="Z102" s="25"/>
    </row>
    <row r="103" spans="1:26" ht="179.4" x14ac:dyDescent="0.3">
      <c r="A103" s="15">
        <f t="shared" si="1"/>
        <v>100</v>
      </c>
      <c r="B103" s="15" t="s">
        <v>699</v>
      </c>
      <c r="C103" s="15" t="s">
        <v>699</v>
      </c>
      <c r="D103" s="15">
        <v>2022</v>
      </c>
      <c r="E103" s="15"/>
      <c r="F103" s="15" t="s">
        <v>1049</v>
      </c>
      <c r="G103" s="16" t="s">
        <v>1050</v>
      </c>
      <c r="H103" s="102" t="s">
        <v>1088</v>
      </c>
      <c r="I103" s="63" t="s">
        <v>1089</v>
      </c>
      <c r="J103" s="25" t="s">
        <v>1090</v>
      </c>
      <c r="K103" s="67" t="s">
        <v>50</v>
      </c>
      <c r="L103" s="20" t="s">
        <v>55</v>
      </c>
      <c r="M103" s="118" t="s">
        <v>411</v>
      </c>
      <c r="N103" s="111">
        <v>44742</v>
      </c>
      <c r="O103" s="111"/>
      <c r="P103" s="129" t="str">
        <f>TEXT(Table134[[#This Row],[Implementation Due Date]],"YYYY")</f>
        <v>2022</v>
      </c>
      <c r="Q103" s="130" t="str">
        <f>"Q"&amp;ROUNDUP(MONTH(Table134[[#This Row],[Implementation Due Date]])/3,0)</f>
        <v>Q2</v>
      </c>
      <c r="R103" s="98">
        <v>2024</v>
      </c>
      <c r="S103" s="95" t="s">
        <v>890</v>
      </c>
      <c r="T103" s="90"/>
      <c r="U103" s="125" t="s">
        <v>706</v>
      </c>
      <c r="V103" s="73" t="s">
        <v>707</v>
      </c>
      <c r="W103" s="15" t="s">
        <v>706</v>
      </c>
      <c r="X103" s="15"/>
      <c r="Y103" s="26" t="s">
        <v>1091</v>
      </c>
      <c r="Z103" s="25"/>
    </row>
    <row r="104" spans="1:26" ht="316.8" x14ac:dyDescent="0.3">
      <c r="A104" s="15">
        <f t="shared" si="1"/>
        <v>101</v>
      </c>
      <c r="B104" s="15" t="s">
        <v>699</v>
      </c>
      <c r="C104" s="15" t="s">
        <v>699</v>
      </c>
      <c r="D104" s="15">
        <v>2022</v>
      </c>
      <c r="E104" s="15"/>
      <c r="F104" s="15" t="s">
        <v>1049</v>
      </c>
      <c r="G104" s="16" t="s">
        <v>1050</v>
      </c>
      <c r="H104" s="102" t="s">
        <v>1092</v>
      </c>
      <c r="I104" s="63" t="s">
        <v>1093</v>
      </c>
      <c r="J104" s="25" t="s">
        <v>1094</v>
      </c>
      <c r="K104" s="67" t="s">
        <v>50</v>
      </c>
      <c r="L104" s="20" t="s">
        <v>55</v>
      </c>
      <c r="M104" s="118" t="s">
        <v>411</v>
      </c>
      <c r="N104" s="111">
        <v>44711</v>
      </c>
      <c r="O104" s="111"/>
      <c r="P104" s="129" t="str">
        <f>TEXT(Table134[[#This Row],[Implementation Due Date]],"YYYY")</f>
        <v>2022</v>
      </c>
      <c r="Q104" s="130" t="str">
        <f>"Q"&amp;ROUNDUP(MONTH(Table134[[#This Row],[Implementation Due Date]])/3,0)</f>
        <v>Q2</v>
      </c>
      <c r="R104" s="98">
        <v>2024</v>
      </c>
      <c r="S104" s="95" t="s">
        <v>799</v>
      </c>
      <c r="T104" s="90"/>
      <c r="U104" s="125" t="s">
        <v>706</v>
      </c>
      <c r="V104" s="73" t="s">
        <v>707</v>
      </c>
      <c r="W104" s="15" t="s">
        <v>706</v>
      </c>
      <c r="X104" s="15"/>
      <c r="Y104" s="26" t="s">
        <v>1095</v>
      </c>
      <c r="Z104" s="25"/>
    </row>
    <row r="105" spans="1:26" ht="86.4" x14ac:dyDescent="0.3">
      <c r="A105" s="15">
        <f t="shared" si="1"/>
        <v>102</v>
      </c>
      <c r="B105" s="15" t="s">
        <v>699</v>
      </c>
      <c r="C105" s="15" t="s">
        <v>699</v>
      </c>
      <c r="D105" s="15">
        <v>2022</v>
      </c>
      <c r="E105" s="15"/>
      <c r="F105" s="15" t="s">
        <v>731</v>
      </c>
      <c r="G105" s="16" t="s">
        <v>1050</v>
      </c>
      <c r="H105" s="102" t="s">
        <v>1096</v>
      </c>
      <c r="I105" s="63" t="s">
        <v>1097</v>
      </c>
      <c r="J105" s="25" t="s">
        <v>1098</v>
      </c>
      <c r="K105" s="68" t="s">
        <v>79</v>
      </c>
      <c r="L105" s="20" t="s">
        <v>55</v>
      </c>
      <c r="M105" s="118" t="s">
        <v>411</v>
      </c>
      <c r="N105" s="111">
        <v>44742</v>
      </c>
      <c r="O105" s="111"/>
      <c r="P105" s="129" t="str">
        <f>TEXT(Table134[[#This Row],[Implementation Due Date]],"YYYY")</f>
        <v>2022</v>
      </c>
      <c r="Q105" s="130" t="str">
        <f>"Q"&amp;ROUNDUP(MONTH(Table134[[#This Row],[Implementation Due Date]])/3,0)</f>
        <v>Q2</v>
      </c>
      <c r="R105" s="98">
        <v>2024</v>
      </c>
      <c r="S105" s="95" t="s">
        <v>890</v>
      </c>
      <c r="T105" s="90"/>
      <c r="U105" s="125" t="s">
        <v>706</v>
      </c>
      <c r="V105" s="73" t="s">
        <v>707</v>
      </c>
      <c r="W105" s="15" t="s">
        <v>706</v>
      </c>
      <c r="X105" s="15"/>
      <c r="Y105" s="26" t="s">
        <v>1099</v>
      </c>
      <c r="Z105" s="25"/>
    </row>
    <row r="106" spans="1:26" ht="144" x14ac:dyDescent="0.3">
      <c r="A106" s="15">
        <f t="shared" si="1"/>
        <v>103</v>
      </c>
      <c r="B106" s="15" t="s">
        <v>699</v>
      </c>
      <c r="C106" s="15" t="s">
        <v>699</v>
      </c>
      <c r="D106" s="15">
        <v>2022</v>
      </c>
      <c r="E106" s="15"/>
      <c r="F106" s="15" t="s">
        <v>1049</v>
      </c>
      <c r="G106" s="16" t="s">
        <v>1050</v>
      </c>
      <c r="H106" s="102" t="s">
        <v>1100</v>
      </c>
      <c r="I106" s="63" t="s">
        <v>1101</v>
      </c>
      <c r="J106" s="25" t="s">
        <v>1102</v>
      </c>
      <c r="K106" s="68" t="s">
        <v>79</v>
      </c>
      <c r="L106" s="19" t="s">
        <v>55</v>
      </c>
      <c r="M106" s="118" t="s">
        <v>411</v>
      </c>
      <c r="N106" s="111">
        <v>44693</v>
      </c>
      <c r="O106" s="111"/>
      <c r="P106" s="129" t="str">
        <f>TEXT(Table134[[#This Row],[Implementation Due Date]],"YYYY")</f>
        <v>2022</v>
      </c>
      <c r="Q106" s="130" t="str">
        <f>"Q"&amp;ROUNDUP(MONTH(Table134[[#This Row],[Implementation Due Date]])/3,0)</f>
        <v>Q2</v>
      </c>
      <c r="R106" s="98">
        <v>2024</v>
      </c>
      <c r="S106" s="95" t="s">
        <v>711</v>
      </c>
      <c r="T106" s="90"/>
      <c r="U106" s="125" t="s">
        <v>706</v>
      </c>
      <c r="V106" s="73" t="s">
        <v>707</v>
      </c>
      <c r="W106" s="15" t="s">
        <v>706</v>
      </c>
      <c r="X106" s="15"/>
      <c r="Y106" s="26" t="s">
        <v>1103</v>
      </c>
      <c r="Z106" s="25"/>
    </row>
    <row r="107" spans="1:26" ht="230.4" x14ac:dyDescent="0.3">
      <c r="A107" s="15">
        <f t="shared" si="1"/>
        <v>104</v>
      </c>
      <c r="B107" s="15" t="s">
        <v>699</v>
      </c>
      <c r="C107" s="15" t="s">
        <v>699</v>
      </c>
      <c r="D107" s="15">
        <v>2022</v>
      </c>
      <c r="E107" s="15"/>
      <c r="F107" s="15" t="s">
        <v>1104</v>
      </c>
      <c r="G107" s="16" t="s">
        <v>1050</v>
      </c>
      <c r="H107" s="102" t="s">
        <v>1105</v>
      </c>
      <c r="I107" s="63" t="s">
        <v>1106</v>
      </c>
      <c r="J107" s="25" t="s">
        <v>1107</v>
      </c>
      <c r="K107" s="67" t="s">
        <v>50</v>
      </c>
      <c r="L107" s="20" t="s">
        <v>26</v>
      </c>
      <c r="M107" s="118" t="s">
        <v>834</v>
      </c>
      <c r="N107" s="111">
        <v>44742</v>
      </c>
      <c r="O107" s="111"/>
      <c r="P107" s="129" t="str">
        <f>TEXT(Table134[[#This Row],[Implementation Due Date]],"YYYY")</f>
        <v>2022</v>
      </c>
      <c r="Q107" s="130" t="str">
        <f>"Q"&amp;ROUNDUP(MONTH(Table134[[#This Row],[Implementation Due Date]])/3,0)</f>
        <v>Q2</v>
      </c>
      <c r="R107" s="98">
        <v>2025</v>
      </c>
      <c r="S107" s="95" t="s">
        <v>890</v>
      </c>
      <c r="T107" s="89"/>
      <c r="U107" s="126" t="s">
        <v>706</v>
      </c>
      <c r="V107" s="73" t="s">
        <v>707</v>
      </c>
      <c r="W107" s="15" t="s">
        <v>706</v>
      </c>
      <c r="X107" s="15"/>
      <c r="Y107" s="26" t="s">
        <v>1108</v>
      </c>
      <c r="Z107" s="25"/>
    </row>
    <row r="108" spans="1:26" ht="138" x14ac:dyDescent="0.3">
      <c r="A108" s="15">
        <f t="shared" si="1"/>
        <v>105</v>
      </c>
      <c r="B108" s="15" t="s">
        <v>699</v>
      </c>
      <c r="C108" s="15" t="s">
        <v>699</v>
      </c>
      <c r="D108" s="15">
        <v>2022</v>
      </c>
      <c r="E108" s="15"/>
      <c r="F108" s="15" t="s">
        <v>1104</v>
      </c>
      <c r="G108" s="16" t="s">
        <v>1050</v>
      </c>
      <c r="H108" s="102" t="s">
        <v>1109</v>
      </c>
      <c r="I108" s="63" t="s">
        <v>1110</v>
      </c>
      <c r="J108" s="25" t="s">
        <v>1111</v>
      </c>
      <c r="K108" s="67" t="s">
        <v>50</v>
      </c>
      <c r="L108" s="20" t="s">
        <v>26</v>
      </c>
      <c r="M108" s="118" t="s">
        <v>834</v>
      </c>
      <c r="N108" s="111">
        <v>44742</v>
      </c>
      <c r="O108" s="111"/>
      <c r="P108" s="129" t="str">
        <f>TEXT(Table134[[#This Row],[Implementation Due Date]],"YYYY")</f>
        <v>2022</v>
      </c>
      <c r="Q108" s="130" t="str">
        <f>"Q"&amp;ROUNDUP(MONTH(Table134[[#This Row],[Implementation Due Date]])/3,0)</f>
        <v>Q2</v>
      </c>
      <c r="R108" s="98">
        <v>2025</v>
      </c>
      <c r="S108" s="95" t="s">
        <v>890</v>
      </c>
      <c r="T108" s="90"/>
      <c r="U108" s="126" t="s">
        <v>706</v>
      </c>
      <c r="V108" s="73" t="s">
        <v>707</v>
      </c>
      <c r="W108" s="15" t="s">
        <v>706</v>
      </c>
      <c r="X108" s="15"/>
      <c r="Y108" s="26" t="s">
        <v>1112</v>
      </c>
      <c r="Z108" s="25"/>
    </row>
    <row r="109" spans="1:26" ht="172.8" x14ac:dyDescent="0.3">
      <c r="A109" s="15">
        <f t="shared" si="1"/>
        <v>106</v>
      </c>
      <c r="B109" s="15" t="s">
        <v>699</v>
      </c>
      <c r="C109" s="15" t="s">
        <v>699</v>
      </c>
      <c r="D109" s="15">
        <v>2022</v>
      </c>
      <c r="E109" s="15"/>
      <c r="F109" s="15" t="s">
        <v>1104</v>
      </c>
      <c r="G109" s="16" t="s">
        <v>1050</v>
      </c>
      <c r="H109" s="102" t="s">
        <v>1113</v>
      </c>
      <c r="I109" s="63" t="s">
        <v>1114</v>
      </c>
      <c r="J109" s="25" t="s">
        <v>1115</v>
      </c>
      <c r="K109" s="67" t="s">
        <v>50</v>
      </c>
      <c r="L109" s="20" t="s">
        <v>55</v>
      </c>
      <c r="M109" s="118" t="s">
        <v>834</v>
      </c>
      <c r="N109" s="111">
        <v>44742</v>
      </c>
      <c r="O109" s="111"/>
      <c r="P109" s="129" t="str">
        <f>TEXT(Table134[[#This Row],[Implementation Due Date]],"YYYY")</f>
        <v>2022</v>
      </c>
      <c r="Q109" s="130" t="str">
        <f>"Q"&amp;ROUNDUP(MONTH(Table134[[#This Row],[Implementation Due Date]])/3,0)</f>
        <v>Q2</v>
      </c>
      <c r="R109" s="98">
        <v>2024</v>
      </c>
      <c r="S109" s="95" t="s">
        <v>711</v>
      </c>
      <c r="T109" s="90"/>
      <c r="U109" s="125" t="s">
        <v>706</v>
      </c>
      <c r="V109" s="73" t="s">
        <v>707</v>
      </c>
      <c r="W109" s="15" t="s">
        <v>706</v>
      </c>
      <c r="X109" s="15"/>
      <c r="Y109" s="26" t="s">
        <v>1116</v>
      </c>
      <c r="Z109" s="25"/>
    </row>
    <row r="110" spans="1:26" ht="82.8" x14ac:dyDescent="0.3">
      <c r="A110" s="15">
        <f t="shared" si="1"/>
        <v>107</v>
      </c>
      <c r="B110" s="15" t="s">
        <v>699</v>
      </c>
      <c r="C110" s="15" t="s">
        <v>699</v>
      </c>
      <c r="D110" s="15">
        <v>2022</v>
      </c>
      <c r="E110" s="15"/>
      <c r="F110" s="15" t="s">
        <v>1104</v>
      </c>
      <c r="G110" s="16" t="s">
        <v>1050</v>
      </c>
      <c r="H110" s="102" t="s">
        <v>1117</v>
      </c>
      <c r="I110" s="63" t="s">
        <v>1118</v>
      </c>
      <c r="J110" s="25" t="s">
        <v>1119</v>
      </c>
      <c r="K110" s="67" t="s">
        <v>50</v>
      </c>
      <c r="L110" s="20" t="s">
        <v>55</v>
      </c>
      <c r="M110" s="118" t="s">
        <v>834</v>
      </c>
      <c r="N110" s="111">
        <v>44742</v>
      </c>
      <c r="O110" s="111"/>
      <c r="P110" s="129" t="str">
        <f>TEXT(Table134[[#This Row],[Implementation Due Date]],"YYYY")</f>
        <v>2022</v>
      </c>
      <c r="Q110" s="130" t="str">
        <f>"Q"&amp;ROUNDUP(MONTH(Table134[[#This Row],[Implementation Due Date]])/3,0)</f>
        <v>Q2</v>
      </c>
      <c r="R110" s="98"/>
      <c r="S110" s="95"/>
      <c r="T110" s="89">
        <v>46022</v>
      </c>
      <c r="U110" s="127" t="s">
        <v>845</v>
      </c>
      <c r="V110" s="73">
        <f>$U$2-Table134[[#This Row],[Implementation Due Date]]</f>
        <v>1461</v>
      </c>
      <c r="W110" s="15" t="s">
        <v>846</v>
      </c>
      <c r="X110" s="15"/>
      <c r="Y110" s="26" t="s">
        <v>1120</v>
      </c>
      <c r="Z110" s="25"/>
    </row>
    <row r="111" spans="1:26" ht="82.8" x14ac:dyDescent="0.3">
      <c r="A111" s="15">
        <f t="shared" si="1"/>
        <v>108</v>
      </c>
      <c r="B111" s="15" t="s">
        <v>699</v>
      </c>
      <c r="C111" s="15" t="s">
        <v>699</v>
      </c>
      <c r="D111" s="15">
        <v>2022</v>
      </c>
      <c r="E111" s="15"/>
      <c r="F111" s="15" t="s">
        <v>1104</v>
      </c>
      <c r="G111" s="16" t="s">
        <v>1050</v>
      </c>
      <c r="H111" s="102" t="s">
        <v>1121</v>
      </c>
      <c r="I111" s="63" t="s">
        <v>1122</v>
      </c>
      <c r="J111" s="25" t="s">
        <v>1123</v>
      </c>
      <c r="K111" s="67" t="s">
        <v>50</v>
      </c>
      <c r="L111" s="20" t="s">
        <v>26</v>
      </c>
      <c r="M111" s="118" t="s">
        <v>834</v>
      </c>
      <c r="N111" s="111">
        <v>44742</v>
      </c>
      <c r="O111" s="111"/>
      <c r="P111" s="129" t="str">
        <f>TEXT(Table134[[#This Row],[Implementation Due Date]],"YYYY")</f>
        <v>2022</v>
      </c>
      <c r="Q111" s="130" t="str">
        <f>"Q"&amp;ROUNDUP(MONTH(Table134[[#This Row],[Implementation Due Date]])/3,0)</f>
        <v>Q2</v>
      </c>
      <c r="R111" s="98">
        <v>2025</v>
      </c>
      <c r="S111" s="95" t="s">
        <v>890</v>
      </c>
      <c r="T111" s="89"/>
      <c r="U111" s="126" t="s">
        <v>706</v>
      </c>
      <c r="V111" s="73" t="s">
        <v>707</v>
      </c>
      <c r="W111" s="15" t="s">
        <v>706</v>
      </c>
      <c r="X111" s="15"/>
      <c r="Y111" s="26" t="s">
        <v>1124</v>
      </c>
      <c r="Z111" s="25"/>
    </row>
    <row r="112" spans="1:26" ht="86.4" x14ac:dyDescent="0.3">
      <c r="A112" s="15">
        <f t="shared" si="1"/>
        <v>109</v>
      </c>
      <c r="B112" s="15" t="s">
        <v>699</v>
      </c>
      <c r="C112" s="15" t="s">
        <v>699</v>
      </c>
      <c r="D112" s="15">
        <v>2022</v>
      </c>
      <c r="E112" s="15"/>
      <c r="F112" s="15" t="s">
        <v>1104</v>
      </c>
      <c r="G112" s="16" t="s">
        <v>1050</v>
      </c>
      <c r="H112" s="102" t="s">
        <v>1125</v>
      </c>
      <c r="I112" s="63" t="s">
        <v>1126</v>
      </c>
      <c r="J112" s="25" t="s">
        <v>1127</v>
      </c>
      <c r="K112" s="68" t="s">
        <v>79</v>
      </c>
      <c r="L112" s="20" t="s">
        <v>26</v>
      </c>
      <c r="M112" s="118" t="s">
        <v>1128</v>
      </c>
      <c r="N112" s="111">
        <v>44742</v>
      </c>
      <c r="O112" s="111"/>
      <c r="P112" s="129" t="str">
        <f>TEXT(Table134[[#This Row],[Implementation Due Date]],"YYYY")</f>
        <v>2022</v>
      </c>
      <c r="Q112" s="130" t="str">
        <f>"Q"&amp;ROUNDUP(MONTH(Table134[[#This Row],[Implementation Due Date]])/3,0)</f>
        <v>Q2</v>
      </c>
      <c r="R112" s="98">
        <v>2024</v>
      </c>
      <c r="S112" s="95" t="s">
        <v>711</v>
      </c>
      <c r="T112" s="89"/>
      <c r="U112" s="125" t="s">
        <v>706</v>
      </c>
      <c r="V112" s="73" t="s">
        <v>707</v>
      </c>
      <c r="W112" s="15" t="s">
        <v>706</v>
      </c>
      <c r="X112" s="15"/>
      <c r="Y112" s="26" t="s">
        <v>1129</v>
      </c>
      <c r="Z112" s="25"/>
    </row>
    <row r="113" spans="1:26" ht="138" x14ac:dyDescent="0.3">
      <c r="A113" s="15">
        <f t="shared" si="1"/>
        <v>110</v>
      </c>
      <c r="B113" s="15" t="s">
        <v>699</v>
      </c>
      <c r="C113" s="15" t="s">
        <v>699</v>
      </c>
      <c r="D113" s="15">
        <v>2022</v>
      </c>
      <c r="E113" s="15"/>
      <c r="F113" s="15" t="s">
        <v>1104</v>
      </c>
      <c r="G113" s="16" t="s">
        <v>1050</v>
      </c>
      <c r="H113" s="102" t="s">
        <v>1130</v>
      </c>
      <c r="I113" s="63" t="s">
        <v>1131</v>
      </c>
      <c r="J113" s="25" t="s">
        <v>1132</v>
      </c>
      <c r="K113" s="68" t="s">
        <v>79</v>
      </c>
      <c r="L113" s="20" t="s">
        <v>26</v>
      </c>
      <c r="M113" s="118" t="s">
        <v>1128</v>
      </c>
      <c r="N113" s="111">
        <v>44742</v>
      </c>
      <c r="O113" s="111"/>
      <c r="P113" s="129" t="str">
        <f>TEXT(Table134[[#This Row],[Implementation Due Date]],"YYYY")</f>
        <v>2022</v>
      </c>
      <c r="Q113" s="130" t="str">
        <f>"Q"&amp;ROUNDUP(MONTH(Table134[[#This Row],[Implementation Due Date]])/3,0)</f>
        <v>Q2</v>
      </c>
      <c r="R113" s="98">
        <v>2024</v>
      </c>
      <c r="S113" s="95" t="s">
        <v>711</v>
      </c>
      <c r="T113" s="90"/>
      <c r="U113" s="125" t="s">
        <v>706</v>
      </c>
      <c r="V113" s="73" t="s">
        <v>707</v>
      </c>
      <c r="W113" s="15" t="s">
        <v>706</v>
      </c>
      <c r="X113" s="15"/>
      <c r="Y113" s="26" t="s">
        <v>1133</v>
      </c>
      <c r="Z113" s="25"/>
    </row>
    <row r="114" spans="1:26" ht="144" x14ac:dyDescent="0.3">
      <c r="A114" s="15">
        <f t="shared" si="1"/>
        <v>111</v>
      </c>
      <c r="B114" s="15" t="s">
        <v>699</v>
      </c>
      <c r="C114" s="15" t="s">
        <v>699</v>
      </c>
      <c r="D114" s="15">
        <v>2022</v>
      </c>
      <c r="E114" s="15"/>
      <c r="F114" s="15" t="s">
        <v>1104</v>
      </c>
      <c r="G114" s="16" t="s">
        <v>1050</v>
      </c>
      <c r="H114" s="102" t="s">
        <v>1134</v>
      </c>
      <c r="I114" s="63" t="s">
        <v>1135</v>
      </c>
      <c r="J114" s="25" t="s">
        <v>1136</v>
      </c>
      <c r="K114" s="68" t="s">
        <v>79</v>
      </c>
      <c r="L114" s="20" t="s">
        <v>26</v>
      </c>
      <c r="M114" s="118" t="s">
        <v>834</v>
      </c>
      <c r="N114" s="111">
        <v>44742</v>
      </c>
      <c r="O114" s="111"/>
      <c r="P114" s="129" t="str">
        <f>TEXT(Table134[[#This Row],[Implementation Due Date]],"YYYY")</f>
        <v>2022</v>
      </c>
      <c r="Q114" s="130" t="str">
        <f>"Q"&amp;ROUNDUP(MONTH(Table134[[#This Row],[Implementation Due Date]])/3,0)</f>
        <v>Q2</v>
      </c>
      <c r="R114" s="98">
        <v>2025</v>
      </c>
      <c r="S114" s="95" t="s">
        <v>890</v>
      </c>
      <c r="T114" s="90"/>
      <c r="U114" s="126" t="s">
        <v>706</v>
      </c>
      <c r="V114" s="73" t="s">
        <v>707</v>
      </c>
      <c r="W114" s="15" t="s">
        <v>706</v>
      </c>
      <c r="X114" s="15"/>
      <c r="Y114" s="26" t="s">
        <v>1137</v>
      </c>
      <c r="Z114" s="25"/>
    </row>
    <row r="115" spans="1:26" ht="151.80000000000001" x14ac:dyDescent="0.3">
      <c r="A115" s="15">
        <f t="shared" si="1"/>
        <v>112</v>
      </c>
      <c r="B115" s="15" t="s">
        <v>699</v>
      </c>
      <c r="C115" s="15" t="s">
        <v>699</v>
      </c>
      <c r="D115" s="15">
        <v>2022</v>
      </c>
      <c r="E115" s="15"/>
      <c r="F115" s="15" t="s">
        <v>1104</v>
      </c>
      <c r="G115" s="16" t="s">
        <v>1050</v>
      </c>
      <c r="H115" s="102" t="s">
        <v>1138</v>
      </c>
      <c r="I115" s="63" t="s">
        <v>1139</v>
      </c>
      <c r="J115" s="25" t="s">
        <v>1140</v>
      </c>
      <c r="K115" s="68" t="s">
        <v>79</v>
      </c>
      <c r="L115" s="20" t="s">
        <v>26</v>
      </c>
      <c r="M115" s="118" t="s">
        <v>834</v>
      </c>
      <c r="N115" s="111">
        <v>44742</v>
      </c>
      <c r="O115" s="111"/>
      <c r="P115" s="129" t="str">
        <f>TEXT(Table134[[#This Row],[Implementation Due Date]],"YYYY")</f>
        <v>2022</v>
      </c>
      <c r="Q115" s="130" t="str">
        <f>"Q"&amp;ROUNDUP(MONTH(Table134[[#This Row],[Implementation Due Date]])/3,0)</f>
        <v>Q2</v>
      </c>
      <c r="R115" s="98">
        <v>2024</v>
      </c>
      <c r="S115" s="95" t="s">
        <v>711</v>
      </c>
      <c r="T115" s="90"/>
      <c r="U115" s="125" t="s">
        <v>706</v>
      </c>
      <c r="V115" s="73" t="s">
        <v>707</v>
      </c>
      <c r="W115" s="15" t="s">
        <v>706</v>
      </c>
      <c r="X115" s="15"/>
      <c r="Y115" s="26" t="s">
        <v>1141</v>
      </c>
      <c r="Z115" s="25"/>
    </row>
    <row r="116" spans="1:26" ht="100.8" x14ac:dyDescent="0.3">
      <c r="A116" s="15">
        <f t="shared" si="1"/>
        <v>113</v>
      </c>
      <c r="B116" s="15" t="s">
        <v>699</v>
      </c>
      <c r="C116" s="15" t="s">
        <v>699</v>
      </c>
      <c r="D116" s="15">
        <v>2022</v>
      </c>
      <c r="E116" s="15"/>
      <c r="F116" s="15" t="s">
        <v>1104</v>
      </c>
      <c r="G116" s="16" t="s">
        <v>1050</v>
      </c>
      <c r="H116" s="102" t="s">
        <v>1142</v>
      </c>
      <c r="I116" s="63" t="s">
        <v>1143</v>
      </c>
      <c r="J116" s="25" t="s">
        <v>1144</v>
      </c>
      <c r="K116" s="68" t="s">
        <v>79</v>
      </c>
      <c r="L116" s="20" t="s">
        <v>814</v>
      </c>
      <c r="M116" s="118" t="s">
        <v>834</v>
      </c>
      <c r="N116" s="111">
        <v>44742</v>
      </c>
      <c r="O116" s="111"/>
      <c r="P116" s="129" t="str">
        <f>TEXT(Table134[[#This Row],[Implementation Due Date]],"YYYY")</f>
        <v>2022</v>
      </c>
      <c r="Q116" s="130" t="str">
        <f>"Q"&amp;ROUNDUP(MONTH(Table134[[#This Row],[Implementation Due Date]])/3,0)</f>
        <v>Q2</v>
      </c>
      <c r="R116" s="98"/>
      <c r="S116" s="95"/>
      <c r="T116" s="89">
        <v>46022</v>
      </c>
      <c r="U116" s="127" t="s">
        <v>845</v>
      </c>
      <c r="V116" s="73">
        <f>$U$2-Table134[[#This Row],[Implementation Due Date]]</f>
        <v>1461</v>
      </c>
      <c r="W116" s="15" t="s">
        <v>846</v>
      </c>
      <c r="X116" s="15"/>
      <c r="Y116" s="26" t="s">
        <v>1145</v>
      </c>
      <c r="Z116" s="25"/>
    </row>
    <row r="117" spans="1:26" ht="144" x14ac:dyDescent="0.3">
      <c r="A117" s="15">
        <f t="shared" si="1"/>
        <v>114</v>
      </c>
      <c r="B117" s="15" t="s">
        <v>699</v>
      </c>
      <c r="C117" s="15" t="s">
        <v>699</v>
      </c>
      <c r="D117" s="15">
        <v>2022</v>
      </c>
      <c r="E117" s="15"/>
      <c r="F117" s="15" t="s">
        <v>700</v>
      </c>
      <c r="G117" s="15" t="s">
        <v>1050</v>
      </c>
      <c r="H117" s="102" t="s">
        <v>1146</v>
      </c>
      <c r="I117" s="63" t="s">
        <v>1147</v>
      </c>
      <c r="J117" s="25" t="s">
        <v>1148</v>
      </c>
      <c r="K117" s="67" t="s">
        <v>50</v>
      </c>
      <c r="L117" s="20" t="s">
        <v>26</v>
      </c>
      <c r="M117" s="118" t="s">
        <v>704</v>
      </c>
      <c r="N117" s="111">
        <v>44742</v>
      </c>
      <c r="O117" s="111"/>
      <c r="P117" s="129" t="str">
        <f>TEXT(Table134[[#This Row],[Implementation Due Date]],"YYYY")</f>
        <v>2022</v>
      </c>
      <c r="Q117" s="130" t="str">
        <f>"Q"&amp;ROUNDUP(MONTH(Table134[[#This Row],[Implementation Due Date]])/3,0)</f>
        <v>Q2</v>
      </c>
      <c r="R117" s="98">
        <v>2025</v>
      </c>
      <c r="S117" s="95" t="s">
        <v>890</v>
      </c>
      <c r="T117" s="89"/>
      <c r="U117" s="126" t="s">
        <v>706</v>
      </c>
      <c r="V117" s="73" t="s">
        <v>707</v>
      </c>
      <c r="W117" s="15" t="s">
        <v>706</v>
      </c>
      <c r="X117" s="15"/>
      <c r="Y117" s="26" t="s">
        <v>1149</v>
      </c>
      <c r="Z117" s="25"/>
    </row>
    <row r="118" spans="1:26" ht="72" x14ac:dyDescent="0.3">
      <c r="A118" s="15">
        <f t="shared" si="1"/>
        <v>115</v>
      </c>
      <c r="B118" s="15" t="s">
        <v>699</v>
      </c>
      <c r="C118" s="15" t="s">
        <v>699</v>
      </c>
      <c r="D118" s="15">
        <v>2022</v>
      </c>
      <c r="E118" s="15"/>
      <c r="F118" s="15" t="s">
        <v>700</v>
      </c>
      <c r="G118" s="15" t="s">
        <v>1050</v>
      </c>
      <c r="H118" s="102" t="s">
        <v>1150</v>
      </c>
      <c r="I118" s="63" t="s">
        <v>1151</v>
      </c>
      <c r="J118" s="25" t="s">
        <v>1152</v>
      </c>
      <c r="K118" s="67" t="s">
        <v>50</v>
      </c>
      <c r="L118" s="20" t="s">
        <v>814</v>
      </c>
      <c r="M118" s="118" t="s">
        <v>704</v>
      </c>
      <c r="N118" s="111">
        <v>44742</v>
      </c>
      <c r="O118" s="111"/>
      <c r="P118" s="129" t="str">
        <f>TEXT(Table134[[#This Row],[Implementation Due Date]],"YYYY")</f>
        <v>2022</v>
      </c>
      <c r="Q118" s="130" t="str">
        <f>"Q"&amp;ROUNDUP(MONTH(Table134[[#This Row],[Implementation Due Date]])/3,0)</f>
        <v>Q2</v>
      </c>
      <c r="R118" s="98">
        <v>2024</v>
      </c>
      <c r="S118" s="95" t="s">
        <v>890</v>
      </c>
      <c r="T118" s="89"/>
      <c r="U118" s="125" t="s">
        <v>706</v>
      </c>
      <c r="V118" s="73" t="s">
        <v>707</v>
      </c>
      <c r="W118" s="15" t="s">
        <v>706</v>
      </c>
      <c r="X118" s="15"/>
      <c r="Y118" s="26" t="s">
        <v>1153</v>
      </c>
      <c r="Z118" s="25"/>
    </row>
    <row r="119" spans="1:26" ht="129.6" x14ac:dyDescent="0.3">
      <c r="A119" s="15">
        <f t="shared" si="1"/>
        <v>116</v>
      </c>
      <c r="B119" s="15" t="s">
        <v>699</v>
      </c>
      <c r="C119" s="15" t="s">
        <v>699</v>
      </c>
      <c r="D119" s="15">
        <v>2022</v>
      </c>
      <c r="E119" s="15"/>
      <c r="F119" s="15" t="s">
        <v>700</v>
      </c>
      <c r="G119" s="15" t="s">
        <v>1050</v>
      </c>
      <c r="H119" s="102" t="s">
        <v>1154</v>
      </c>
      <c r="I119" s="63" t="s">
        <v>1155</v>
      </c>
      <c r="J119" s="25" t="s">
        <v>1156</v>
      </c>
      <c r="K119" s="67" t="s">
        <v>50</v>
      </c>
      <c r="L119" s="20" t="s">
        <v>814</v>
      </c>
      <c r="M119" s="118" t="s">
        <v>704</v>
      </c>
      <c r="N119" s="111">
        <v>44742</v>
      </c>
      <c r="O119" s="111"/>
      <c r="P119" s="129" t="str">
        <f>TEXT(Table134[[#This Row],[Implementation Due Date]],"YYYY")</f>
        <v>2022</v>
      </c>
      <c r="Q119" s="130" t="str">
        <f>"Q"&amp;ROUNDUP(MONTH(Table134[[#This Row],[Implementation Due Date]])/3,0)</f>
        <v>Q2</v>
      </c>
      <c r="R119" s="98">
        <v>2023</v>
      </c>
      <c r="S119" s="95" t="s">
        <v>890</v>
      </c>
      <c r="T119" s="89"/>
      <c r="U119" s="125" t="s">
        <v>706</v>
      </c>
      <c r="V119" s="73" t="s">
        <v>707</v>
      </c>
      <c r="W119" s="15" t="s">
        <v>706</v>
      </c>
      <c r="X119" s="15"/>
      <c r="Y119" s="26" t="s">
        <v>1157</v>
      </c>
      <c r="Z119" s="25"/>
    </row>
    <row r="120" spans="1:26" ht="115.2" x14ac:dyDescent="0.3">
      <c r="A120" s="15">
        <f t="shared" si="1"/>
        <v>117</v>
      </c>
      <c r="B120" s="15" t="s">
        <v>699</v>
      </c>
      <c r="C120" s="15" t="s">
        <v>699</v>
      </c>
      <c r="D120" s="15">
        <v>2022</v>
      </c>
      <c r="E120" s="15"/>
      <c r="F120" s="15" t="s">
        <v>700</v>
      </c>
      <c r="G120" s="15" t="s">
        <v>1050</v>
      </c>
      <c r="H120" s="102" t="s">
        <v>1158</v>
      </c>
      <c r="I120" s="63" t="s">
        <v>1159</v>
      </c>
      <c r="J120" s="25" t="s">
        <v>1160</v>
      </c>
      <c r="K120" s="67" t="s">
        <v>50</v>
      </c>
      <c r="L120" s="20" t="s">
        <v>26</v>
      </c>
      <c r="M120" s="118" t="s">
        <v>704</v>
      </c>
      <c r="N120" s="111">
        <v>44742</v>
      </c>
      <c r="O120" s="111"/>
      <c r="P120" s="129" t="str">
        <f>TEXT(Table134[[#This Row],[Implementation Due Date]],"YYYY")</f>
        <v>2022</v>
      </c>
      <c r="Q120" s="130" t="str">
        <f>"Q"&amp;ROUNDUP(MONTH(Table134[[#This Row],[Implementation Due Date]])/3,0)</f>
        <v>Q2</v>
      </c>
      <c r="R120" s="98">
        <v>2024</v>
      </c>
      <c r="S120" s="95" t="s">
        <v>711</v>
      </c>
      <c r="T120" s="89"/>
      <c r="U120" s="125" t="s">
        <v>706</v>
      </c>
      <c r="V120" s="73" t="s">
        <v>707</v>
      </c>
      <c r="W120" s="15" t="s">
        <v>706</v>
      </c>
      <c r="X120" s="15"/>
      <c r="Y120" s="26" t="s">
        <v>1161</v>
      </c>
      <c r="Z120" s="25"/>
    </row>
    <row r="121" spans="1:26" ht="288" x14ac:dyDescent="0.3">
      <c r="A121" s="15">
        <f t="shared" si="1"/>
        <v>118</v>
      </c>
      <c r="B121" s="15" t="s">
        <v>699</v>
      </c>
      <c r="C121" s="15" t="s">
        <v>699</v>
      </c>
      <c r="D121" s="15">
        <v>2022</v>
      </c>
      <c r="E121" s="15"/>
      <c r="F121" s="15" t="s">
        <v>700</v>
      </c>
      <c r="G121" s="15" t="s">
        <v>1050</v>
      </c>
      <c r="H121" s="102" t="s">
        <v>1162</v>
      </c>
      <c r="I121" s="63" t="s">
        <v>1163</v>
      </c>
      <c r="J121" s="25" t="s">
        <v>1164</v>
      </c>
      <c r="K121" s="67" t="s">
        <v>50</v>
      </c>
      <c r="L121" s="20" t="s">
        <v>26</v>
      </c>
      <c r="M121" s="118" t="s">
        <v>704</v>
      </c>
      <c r="N121" s="111">
        <v>44742</v>
      </c>
      <c r="O121" s="111"/>
      <c r="P121" s="129" t="str">
        <f>TEXT(Table134[[#This Row],[Implementation Due Date]],"YYYY")</f>
        <v>2022</v>
      </c>
      <c r="Q121" s="130" t="str">
        <f>"Q"&amp;ROUNDUP(MONTH(Table134[[#This Row],[Implementation Due Date]])/3,0)</f>
        <v>Q2</v>
      </c>
      <c r="R121" s="98">
        <v>2024</v>
      </c>
      <c r="S121" s="95" t="s">
        <v>890</v>
      </c>
      <c r="T121" s="89"/>
      <c r="U121" s="125" t="s">
        <v>706</v>
      </c>
      <c r="V121" s="73" t="s">
        <v>707</v>
      </c>
      <c r="W121" s="15" t="s">
        <v>706</v>
      </c>
      <c r="X121" s="15"/>
      <c r="Y121" s="26" t="s">
        <v>1165</v>
      </c>
      <c r="Z121" s="25"/>
    </row>
    <row r="122" spans="1:26" ht="86.4" x14ac:dyDescent="0.3">
      <c r="A122" s="15">
        <f t="shared" si="1"/>
        <v>119</v>
      </c>
      <c r="B122" s="15" t="s">
        <v>699</v>
      </c>
      <c r="C122" s="15" t="s">
        <v>699</v>
      </c>
      <c r="D122" s="15">
        <v>2022</v>
      </c>
      <c r="E122" s="15"/>
      <c r="F122" s="15" t="s">
        <v>700</v>
      </c>
      <c r="G122" s="15" t="s">
        <v>1050</v>
      </c>
      <c r="H122" s="102" t="s">
        <v>1166</v>
      </c>
      <c r="I122" s="63" t="s">
        <v>1167</v>
      </c>
      <c r="J122" s="25" t="s">
        <v>1168</v>
      </c>
      <c r="K122" s="67" t="s">
        <v>50</v>
      </c>
      <c r="L122" s="20" t="s">
        <v>37</v>
      </c>
      <c r="M122" s="118" t="s">
        <v>704</v>
      </c>
      <c r="N122" s="111">
        <v>44742</v>
      </c>
      <c r="O122" s="111"/>
      <c r="P122" s="129" t="str">
        <f>TEXT(Table134[[#This Row],[Implementation Due Date]],"YYYY")</f>
        <v>2022</v>
      </c>
      <c r="Q122" s="130" t="str">
        <f>"Q"&amp;ROUNDUP(MONTH(Table134[[#This Row],[Implementation Due Date]])/3,0)</f>
        <v>Q2</v>
      </c>
      <c r="R122" s="98">
        <v>2026</v>
      </c>
      <c r="S122" s="95" t="s">
        <v>799</v>
      </c>
      <c r="T122" s="89">
        <v>45657</v>
      </c>
      <c r="U122" s="126" t="s">
        <v>706</v>
      </c>
      <c r="V122" s="73" t="s">
        <v>707</v>
      </c>
      <c r="W122" s="15" t="s">
        <v>706</v>
      </c>
      <c r="X122" s="15"/>
      <c r="Y122" s="26" t="s">
        <v>1169</v>
      </c>
      <c r="Z122" s="25"/>
    </row>
    <row r="123" spans="1:26" ht="100.8" x14ac:dyDescent="0.3">
      <c r="A123" s="15">
        <f t="shared" si="1"/>
        <v>120</v>
      </c>
      <c r="B123" s="15" t="s">
        <v>699</v>
      </c>
      <c r="C123" s="15" t="s">
        <v>699</v>
      </c>
      <c r="D123" s="15">
        <v>2022</v>
      </c>
      <c r="E123" s="15"/>
      <c r="F123" s="15" t="s">
        <v>700</v>
      </c>
      <c r="G123" s="15" t="s">
        <v>1050</v>
      </c>
      <c r="H123" s="102" t="s">
        <v>1170</v>
      </c>
      <c r="I123" s="63" t="s">
        <v>1171</v>
      </c>
      <c r="J123" s="25" t="s">
        <v>1172</v>
      </c>
      <c r="K123" s="67" t="s">
        <v>50</v>
      </c>
      <c r="L123" s="20" t="s">
        <v>55</v>
      </c>
      <c r="M123" s="118" t="s">
        <v>704</v>
      </c>
      <c r="N123" s="111" t="s">
        <v>1173</v>
      </c>
      <c r="O123" s="111"/>
      <c r="P123" s="98">
        <v>2022</v>
      </c>
      <c r="Q123" s="95" t="s">
        <v>705</v>
      </c>
      <c r="R123" s="98">
        <v>2022</v>
      </c>
      <c r="S123" s="95" t="s">
        <v>705</v>
      </c>
      <c r="T123" s="89"/>
      <c r="U123" s="125" t="s">
        <v>706</v>
      </c>
      <c r="V123" s="73" t="s">
        <v>707</v>
      </c>
      <c r="W123" s="15" t="s">
        <v>706</v>
      </c>
      <c r="X123" s="15"/>
      <c r="Y123" s="26" t="s">
        <v>1174</v>
      </c>
      <c r="Z123" s="25"/>
    </row>
    <row r="124" spans="1:26" ht="138" x14ac:dyDescent="0.3">
      <c r="A124" s="15">
        <f t="shared" si="1"/>
        <v>121</v>
      </c>
      <c r="B124" s="15" t="s">
        <v>699</v>
      </c>
      <c r="C124" s="15" t="s">
        <v>699</v>
      </c>
      <c r="D124" s="15">
        <v>2022</v>
      </c>
      <c r="E124" s="15"/>
      <c r="F124" s="15" t="s">
        <v>700</v>
      </c>
      <c r="G124" s="15" t="s">
        <v>1050</v>
      </c>
      <c r="H124" s="102" t="s">
        <v>1175</v>
      </c>
      <c r="I124" s="63" t="s">
        <v>1176</v>
      </c>
      <c r="J124" s="25" t="s">
        <v>1177</v>
      </c>
      <c r="K124" s="67" t="s">
        <v>50</v>
      </c>
      <c r="L124" s="20" t="s">
        <v>55</v>
      </c>
      <c r="M124" s="118" t="s">
        <v>704</v>
      </c>
      <c r="N124" s="111">
        <v>44742</v>
      </c>
      <c r="O124" s="111"/>
      <c r="P124" s="129" t="str">
        <f>TEXT(Table134[[#This Row],[Implementation Due Date]],"YYYY")</f>
        <v>2022</v>
      </c>
      <c r="Q124" s="130" t="str">
        <f>"Q"&amp;ROUNDUP(MONTH(Table134[[#This Row],[Implementation Due Date]])/3,0)</f>
        <v>Q2</v>
      </c>
      <c r="R124" s="98">
        <v>2024</v>
      </c>
      <c r="S124" s="95" t="s">
        <v>711</v>
      </c>
      <c r="T124" s="89"/>
      <c r="U124" s="125" t="s">
        <v>706</v>
      </c>
      <c r="V124" s="73" t="s">
        <v>707</v>
      </c>
      <c r="W124" s="15" t="s">
        <v>706</v>
      </c>
      <c r="X124" s="15"/>
      <c r="Y124" s="26" t="s">
        <v>1178</v>
      </c>
      <c r="Z124" s="25"/>
    </row>
    <row r="125" spans="1:26" ht="72" x14ac:dyDescent="0.3">
      <c r="A125" s="15">
        <f t="shared" si="1"/>
        <v>122</v>
      </c>
      <c r="B125" s="15" t="s">
        <v>699</v>
      </c>
      <c r="C125" s="15" t="s">
        <v>699</v>
      </c>
      <c r="D125" s="15">
        <v>2022</v>
      </c>
      <c r="E125" s="15"/>
      <c r="F125" s="15" t="s">
        <v>700</v>
      </c>
      <c r="G125" s="15" t="s">
        <v>1050</v>
      </c>
      <c r="H125" s="102" t="s">
        <v>1179</v>
      </c>
      <c r="I125" s="63" t="s">
        <v>1180</v>
      </c>
      <c r="J125" s="25" t="s">
        <v>1181</v>
      </c>
      <c r="K125" s="67" t="s">
        <v>50</v>
      </c>
      <c r="L125" s="20" t="s">
        <v>26</v>
      </c>
      <c r="M125" s="118" t="s">
        <v>704</v>
      </c>
      <c r="N125" s="111">
        <v>44742</v>
      </c>
      <c r="O125" s="111"/>
      <c r="P125" s="129" t="str">
        <f>TEXT(Table134[[#This Row],[Implementation Due Date]],"YYYY")</f>
        <v>2022</v>
      </c>
      <c r="Q125" s="130" t="str">
        <f>"Q"&amp;ROUNDUP(MONTH(Table134[[#This Row],[Implementation Due Date]])/3,0)</f>
        <v>Q2</v>
      </c>
      <c r="R125" s="98">
        <v>2023</v>
      </c>
      <c r="S125" s="95" t="s">
        <v>890</v>
      </c>
      <c r="T125" s="91"/>
      <c r="U125" s="125" t="s">
        <v>706</v>
      </c>
      <c r="V125" s="73" t="s">
        <v>707</v>
      </c>
      <c r="W125" s="15" t="s">
        <v>706</v>
      </c>
      <c r="X125" s="15"/>
      <c r="Y125" s="26" t="s">
        <v>1182</v>
      </c>
      <c r="Z125" s="25"/>
    </row>
    <row r="126" spans="1:26" ht="55.2" x14ac:dyDescent="0.3">
      <c r="A126" s="15">
        <f t="shared" si="1"/>
        <v>123</v>
      </c>
      <c r="B126" s="15" t="s">
        <v>699</v>
      </c>
      <c r="C126" s="15" t="s">
        <v>699</v>
      </c>
      <c r="D126" s="15">
        <v>2022</v>
      </c>
      <c r="E126" s="15"/>
      <c r="F126" s="15" t="s">
        <v>700</v>
      </c>
      <c r="G126" s="15" t="s">
        <v>1050</v>
      </c>
      <c r="H126" s="102" t="s">
        <v>1183</v>
      </c>
      <c r="I126" s="63" t="s">
        <v>1184</v>
      </c>
      <c r="J126" s="25" t="s">
        <v>1185</v>
      </c>
      <c r="K126" s="68" t="s">
        <v>79</v>
      </c>
      <c r="L126" s="20" t="s">
        <v>55</v>
      </c>
      <c r="M126" s="118" t="s">
        <v>704</v>
      </c>
      <c r="N126" s="111">
        <v>44742</v>
      </c>
      <c r="O126" s="111"/>
      <c r="P126" s="129" t="str">
        <f>TEXT(Table134[[#This Row],[Implementation Due Date]],"YYYY")</f>
        <v>2022</v>
      </c>
      <c r="Q126" s="130" t="str">
        <f>"Q"&amp;ROUNDUP(MONTH(Table134[[#This Row],[Implementation Due Date]])/3,0)</f>
        <v>Q2</v>
      </c>
      <c r="R126" s="98">
        <v>2024</v>
      </c>
      <c r="S126" s="95" t="s">
        <v>711</v>
      </c>
      <c r="T126" s="91"/>
      <c r="U126" s="125" t="s">
        <v>706</v>
      </c>
      <c r="V126" s="73" t="s">
        <v>707</v>
      </c>
      <c r="W126" s="15" t="s">
        <v>706</v>
      </c>
      <c r="X126" s="15"/>
      <c r="Y126" s="26" t="s">
        <v>1186</v>
      </c>
      <c r="Z126" s="25"/>
    </row>
    <row r="127" spans="1:26" ht="216" x14ac:dyDescent="0.3">
      <c r="A127" s="15">
        <f t="shared" si="1"/>
        <v>124</v>
      </c>
      <c r="B127" s="15" t="s">
        <v>699</v>
      </c>
      <c r="C127" s="15" t="s">
        <v>699</v>
      </c>
      <c r="D127" s="15">
        <v>2022</v>
      </c>
      <c r="E127" s="15"/>
      <c r="F127" s="15" t="s">
        <v>700</v>
      </c>
      <c r="G127" s="15" t="s">
        <v>1050</v>
      </c>
      <c r="H127" s="102" t="s">
        <v>1187</v>
      </c>
      <c r="I127" s="63" t="s">
        <v>1188</v>
      </c>
      <c r="J127" s="25" t="s">
        <v>1189</v>
      </c>
      <c r="K127" s="68" t="s">
        <v>79</v>
      </c>
      <c r="L127" s="20" t="s">
        <v>26</v>
      </c>
      <c r="M127" s="118" t="s">
        <v>704</v>
      </c>
      <c r="N127" s="111">
        <v>44742</v>
      </c>
      <c r="O127" s="111"/>
      <c r="P127" s="129" t="str">
        <f>TEXT(Table134[[#This Row],[Implementation Due Date]],"YYYY")</f>
        <v>2022</v>
      </c>
      <c r="Q127" s="130" t="str">
        <f>"Q"&amp;ROUNDUP(MONTH(Table134[[#This Row],[Implementation Due Date]])/3,0)</f>
        <v>Q2</v>
      </c>
      <c r="R127" s="98"/>
      <c r="S127" s="95"/>
      <c r="T127" s="91">
        <v>45657</v>
      </c>
      <c r="U127" s="127" t="s">
        <v>845</v>
      </c>
      <c r="V127" s="73">
        <f>$U$2-Table134[[#This Row],[Implementation Due Date]]</f>
        <v>1461</v>
      </c>
      <c r="W127" s="15" t="s">
        <v>846</v>
      </c>
      <c r="X127" s="15"/>
      <c r="Y127" s="26" t="s">
        <v>1190</v>
      </c>
      <c r="Z127" s="25"/>
    </row>
    <row r="128" spans="1:26" ht="86.4" x14ac:dyDescent="0.3">
      <c r="A128" s="15">
        <f t="shared" si="1"/>
        <v>125</v>
      </c>
      <c r="B128" s="15" t="s">
        <v>699</v>
      </c>
      <c r="C128" s="15" t="s">
        <v>699</v>
      </c>
      <c r="D128" s="15">
        <v>2022</v>
      </c>
      <c r="E128" s="15"/>
      <c r="F128" s="15" t="s">
        <v>731</v>
      </c>
      <c r="G128" s="15" t="s">
        <v>1050</v>
      </c>
      <c r="H128" s="102" t="s">
        <v>1191</v>
      </c>
      <c r="I128" s="63" t="s">
        <v>1192</v>
      </c>
      <c r="J128" s="25" t="s">
        <v>1193</v>
      </c>
      <c r="K128" s="67" t="s">
        <v>50</v>
      </c>
      <c r="L128" s="20" t="s">
        <v>26</v>
      </c>
      <c r="M128" s="118" t="s">
        <v>534</v>
      </c>
      <c r="N128" s="111">
        <v>44742</v>
      </c>
      <c r="O128" s="111"/>
      <c r="P128" s="129" t="str">
        <f>TEXT(Table134[[#This Row],[Implementation Due Date]],"YYYY")</f>
        <v>2022</v>
      </c>
      <c r="Q128" s="130" t="str">
        <f>"Q"&amp;ROUNDUP(MONTH(Table134[[#This Row],[Implementation Due Date]])/3,0)</f>
        <v>Q2</v>
      </c>
      <c r="R128" s="98">
        <v>2022</v>
      </c>
      <c r="S128" s="95" t="s">
        <v>705</v>
      </c>
      <c r="T128" s="89"/>
      <c r="U128" s="125" t="s">
        <v>706</v>
      </c>
      <c r="V128" s="73" t="s">
        <v>707</v>
      </c>
      <c r="W128" s="15" t="s">
        <v>706</v>
      </c>
      <c r="X128" s="15"/>
      <c r="Y128" s="26" t="s">
        <v>1194</v>
      </c>
      <c r="Z128" s="25"/>
    </row>
    <row r="129" spans="1:26" ht="403.2" x14ac:dyDescent="0.3">
      <c r="A129" s="15">
        <f t="shared" si="1"/>
        <v>126</v>
      </c>
      <c r="B129" s="15" t="s">
        <v>699</v>
      </c>
      <c r="C129" s="15" t="s">
        <v>699</v>
      </c>
      <c r="D129" s="15">
        <v>2022</v>
      </c>
      <c r="E129" s="15"/>
      <c r="F129" s="15" t="s">
        <v>227</v>
      </c>
      <c r="G129" s="15" t="s">
        <v>1050</v>
      </c>
      <c r="H129" s="102" t="s">
        <v>1195</v>
      </c>
      <c r="I129" s="63" t="s">
        <v>1196</v>
      </c>
      <c r="J129" s="25" t="s">
        <v>1197</v>
      </c>
      <c r="K129" s="67" t="s">
        <v>50</v>
      </c>
      <c r="L129" s="20" t="s">
        <v>55</v>
      </c>
      <c r="M129" s="118" t="s">
        <v>534</v>
      </c>
      <c r="N129" s="111">
        <v>44742</v>
      </c>
      <c r="O129" s="111"/>
      <c r="P129" s="129" t="str">
        <f>TEXT(Table134[[#This Row],[Implementation Due Date]],"YYYY")</f>
        <v>2022</v>
      </c>
      <c r="Q129" s="130" t="str">
        <f>"Q"&amp;ROUNDUP(MONTH(Table134[[#This Row],[Implementation Due Date]])/3,0)</f>
        <v>Q2</v>
      </c>
      <c r="R129" s="98">
        <v>2022</v>
      </c>
      <c r="S129" s="95" t="s">
        <v>705</v>
      </c>
      <c r="T129" s="91"/>
      <c r="U129" s="125" t="s">
        <v>706</v>
      </c>
      <c r="V129" s="73" t="s">
        <v>707</v>
      </c>
      <c r="W129" s="15" t="s">
        <v>706</v>
      </c>
      <c r="X129" s="15"/>
      <c r="Y129" s="26" t="s">
        <v>1198</v>
      </c>
      <c r="Z129" s="25"/>
    </row>
    <row r="130" spans="1:26" ht="115.2" x14ac:dyDescent="0.3">
      <c r="A130" s="15">
        <f t="shared" si="1"/>
        <v>127</v>
      </c>
      <c r="B130" s="15" t="s">
        <v>699</v>
      </c>
      <c r="C130" s="15" t="s">
        <v>699</v>
      </c>
      <c r="D130" s="15">
        <v>2022</v>
      </c>
      <c r="E130" s="15"/>
      <c r="F130" s="15" t="s">
        <v>227</v>
      </c>
      <c r="G130" s="15" t="s">
        <v>1050</v>
      </c>
      <c r="H130" s="102" t="s">
        <v>1199</v>
      </c>
      <c r="I130" s="63" t="s">
        <v>1200</v>
      </c>
      <c r="J130" s="25" t="s">
        <v>1201</v>
      </c>
      <c r="K130" s="67" t="s">
        <v>50</v>
      </c>
      <c r="L130" s="20" t="s">
        <v>55</v>
      </c>
      <c r="M130" s="118" t="s">
        <v>534</v>
      </c>
      <c r="N130" s="111">
        <v>44742</v>
      </c>
      <c r="O130" s="111"/>
      <c r="P130" s="129" t="str">
        <f>TEXT(Table134[[#This Row],[Implementation Due Date]],"YYYY")</f>
        <v>2022</v>
      </c>
      <c r="Q130" s="130" t="str">
        <f>"Q"&amp;ROUNDUP(MONTH(Table134[[#This Row],[Implementation Due Date]])/3,0)</f>
        <v>Q2</v>
      </c>
      <c r="R130" s="98">
        <v>2022</v>
      </c>
      <c r="S130" s="95" t="s">
        <v>705</v>
      </c>
      <c r="T130" s="91"/>
      <c r="U130" s="125" t="s">
        <v>706</v>
      </c>
      <c r="V130" s="73" t="s">
        <v>707</v>
      </c>
      <c r="W130" s="15" t="s">
        <v>706</v>
      </c>
      <c r="X130" s="15"/>
      <c r="Y130" s="26" t="s">
        <v>1202</v>
      </c>
      <c r="Z130" s="25"/>
    </row>
    <row r="131" spans="1:26" ht="288" x14ac:dyDescent="0.3">
      <c r="A131" s="15">
        <f t="shared" si="1"/>
        <v>128</v>
      </c>
      <c r="B131" s="15" t="s">
        <v>699</v>
      </c>
      <c r="C131" s="15" t="s">
        <v>699</v>
      </c>
      <c r="D131" s="15">
        <v>2022</v>
      </c>
      <c r="E131" s="15"/>
      <c r="F131" s="15" t="s">
        <v>227</v>
      </c>
      <c r="G131" s="15" t="s">
        <v>1050</v>
      </c>
      <c r="H131" s="102" t="s">
        <v>1203</v>
      </c>
      <c r="I131" s="63" t="s">
        <v>1204</v>
      </c>
      <c r="J131" s="25" t="s">
        <v>1205</v>
      </c>
      <c r="K131" s="67" t="s">
        <v>50</v>
      </c>
      <c r="L131" s="20" t="s">
        <v>844</v>
      </c>
      <c r="M131" s="118" t="s">
        <v>534</v>
      </c>
      <c r="N131" s="111">
        <v>44742</v>
      </c>
      <c r="O131" s="111"/>
      <c r="P131" s="129" t="str">
        <f>TEXT(Table134[[#This Row],[Implementation Due Date]],"YYYY")</f>
        <v>2022</v>
      </c>
      <c r="Q131" s="130" t="str">
        <f>"Q"&amp;ROUNDUP(MONTH(Table134[[#This Row],[Implementation Due Date]])/3,0)</f>
        <v>Q2</v>
      </c>
      <c r="R131" s="98">
        <v>2022</v>
      </c>
      <c r="S131" s="95" t="s">
        <v>705</v>
      </c>
      <c r="T131" s="91"/>
      <c r="U131" s="125" t="s">
        <v>706</v>
      </c>
      <c r="V131" s="73" t="s">
        <v>707</v>
      </c>
      <c r="W131" s="15" t="s">
        <v>706</v>
      </c>
      <c r="X131" s="15"/>
      <c r="Y131" s="26" t="s">
        <v>1206</v>
      </c>
      <c r="Z131" s="25"/>
    </row>
    <row r="132" spans="1:26" ht="144" x14ac:dyDescent="0.3">
      <c r="A132" s="15">
        <f t="shared" si="1"/>
        <v>129</v>
      </c>
      <c r="B132" s="15" t="s">
        <v>699</v>
      </c>
      <c r="C132" s="15" t="s">
        <v>699</v>
      </c>
      <c r="D132" s="15">
        <v>2022</v>
      </c>
      <c r="E132" s="15"/>
      <c r="F132" s="15" t="s">
        <v>227</v>
      </c>
      <c r="G132" s="15" t="s">
        <v>1050</v>
      </c>
      <c r="H132" s="102" t="s">
        <v>1207</v>
      </c>
      <c r="I132" s="63" t="s">
        <v>1208</v>
      </c>
      <c r="J132" s="25" t="s">
        <v>1209</v>
      </c>
      <c r="K132" s="67" t="s">
        <v>50</v>
      </c>
      <c r="L132" s="20" t="s">
        <v>55</v>
      </c>
      <c r="M132" s="118" t="s">
        <v>534</v>
      </c>
      <c r="N132" s="111" t="s">
        <v>706</v>
      </c>
      <c r="O132" s="111"/>
      <c r="P132" s="98">
        <v>2022</v>
      </c>
      <c r="Q132" s="95" t="s">
        <v>705</v>
      </c>
      <c r="R132" s="98">
        <v>2022</v>
      </c>
      <c r="S132" s="95" t="s">
        <v>705</v>
      </c>
      <c r="T132" s="91"/>
      <c r="U132" s="125" t="s">
        <v>706</v>
      </c>
      <c r="V132" s="73" t="s">
        <v>707</v>
      </c>
      <c r="W132" s="15" t="s">
        <v>706</v>
      </c>
      <c r="X132" s="15"/>
      <c r="Y132" s="26" t="s">
        <v>1210</v>
      </c>
      <c r="Z132" s="25"/>
    </row>
    <row r="133" spans="1:26" ht="172.8" x14ac:dyDescent="0.3">
      <c r="A133" s="15">
        <f t="shared" ref="A133:A174" si="2">ROW(A133)-3</f>
        <v>130</v>
      </c>
      <c r="B133" s="15" t="s">
        <v>699</v>
      </c>
      <c r="C133" s="15" t="s">
        <v>699</v>
      </c>
      <c r="D133" s="15">
        <v>2022</v>
      </c>
      <c r="E133" s="15"/>
      <c r="F133" s="15" t="s">
        <v>227</v>
      </c>
      <c r="G133" s="15" t="s">
        <v>1050</v>
      </c>
      <c r="H133" s="102" t="s">
        <v>1211</v>
      </c>
      <c r="I133" s="63" t="s">
        <v>1212</v>
      </c>
      <c r="J133" s="25" t="s">
        <v>1213</v>
      </c>
      <c r="K133" s="67" t="s">
        <v>50</v>
      </c>
      <c r="L133" s="20" t="s">
        <v>26</v>
      </c>
      <c r="M133" s="118" t="s">
        <v>534</v>
      </c>
      <c r="N133" s="111">
        <v>44742</v>
      </c>
      <c r="O133" s="111"/>
      <c r="P133" s="129" t="str">
        <f>TEXT(Table134[[#This Row],[Implementation Due Date]],"YYYY")</f>
        <v>2022</v>
      </c>
      <c r="Q133" s="130" t="str">
        <f>"Q"&amp;ROUNDUP(MONTH(Table134[[#This Row],[Implementation Due Date]])/3,0)</f>
        <v>Q2</v>
      </c>
      <c r="R133" s="98">
        <v>2024</v>
      </c>
      <c r="S133" s="95" t="s">
        <v>711</v>
      </c>
      <c r="T133" s="91"/>
      <c r="U133" s="125" t="s">
        <v>706</v>
      </c>
      <c r="V133" s="73" t="s">
        <v>707</v>
      </c>
      <c r="W133" s="15" t="s">
        <v>706</v>
      </c>
      <c r="X133" s="15"/>
      <c r="Y133" s="26" t="s">
        <v>1214</v>
      </c>
      <c r="Z133" s="25"/>
    </row>
    <row r="134" spans="1:26" ht="110.4" x14ac:dyDescent="0.3">
      <c r="A134" s="15">
        <f t="shared" si="2"/>
        <v>131</v>
      </c>
      <c r="B134" s="15" t="s">
        <v>699</v>
      </c>
      <c r="C134" s="15" t="s">
        <v>699</v>
      </c>
      <c r="D134" s="15">
        <v>2022</v>
      </c>
      <c r="E134" s="15"/>
      <c r="F134" s="15" t="s">
        <v>227</v>
      </c>
      <c r="G134" s="15" t="s">
        <v>1050</v>
      </c>
      <c r="H134" s="102" t="s">
        <v>1215</v>
      </c>
      <c r="I134" s="63" t="s">
        <v>1216</v>
      </c>
      <c r="J134" s="25" t="s">
        <v>1217</v>
      </c>
      <c r="K134" s="67" t="s">
        <v>50</v>
      </c>
      <c r="L134" s="20" t="s">
        <v>26</v>
      </c>
      <c r="M134" s="118" t="s">
        <v>534</v>
      </c>
      <c r="N134" s="111">
        <v>44742</v>
      </c>
      <c r="O134" s="111"/>
      <c r="P134" s="129" t="str">
        <f>TEXT(Table134[[#This Row],[Implementation Due Date]],"YYYY")</f>
        <v>2022</v>
      </c>
      <c r="Q134" s="130" t="str">
        <f>"Q"&amp;ROUNDUP(MONTH(Table134[[#This Row],[Implementation Due Date]])/3,0)</f>
        <v>Q2</v>
      </c>
      <c r="R134" s="98">
        <v>2022</v>
      </c>
      <c r="S134" s="95" t="s">
        <v>705</v>
      </c>
      <c r="T134" s="91"/>
      <c r="U134" s="125" t="s">
        <v>706</v>
      </c>
      <c r="V134" s="73" t="s">
        <v>707</v>
      </c>
      <c r="W134" s="15" t="s">
        <v>706</v>
      </c>
      <c r="X134" s="15"/>
      <c r="Y134" s="26" t="s">
        <v>1218</v>
      </c>
      <c r="Z134" s="25"/>
    </row>
    <row r="135" spans="1:26" ht="96.6" x14ac:dyDescent="0.3">
      <c r="A135" s="15">
        <f t="shared" si="2"/>
        <v>132</v>
      </c>
      <c r="B135" s="15" t="s">
        <v>699</v>
      </c>
      <c r="C135" s="15" t="s">
        <v>699</v>
      </c>
      <c r="D135" s="15">
        <v>2022</v>
      </c>
      <c r="E135" s="15"/>
      <c r="F135" s="15" t="s">
        <v>227</v>
      </c>
      <c r="G135" s="15" t="s">
        <v>1050</v>
      </c>
      <c r="H135" s="102" t="s">
        <v>1219</v>
      </c>
      <c r="I135" s="63" t="s">
        <v>1220</v>
      </c>
      <c r="J135" s="25" t="s">
        <v>1221</v>
      </c>
      <c r="K135" s="67" t="s">
        <v>50</v>
      </c>
      <c r="L135" s="20" t="s">
        <v>55</v>
      </c>
      <c r="M135" s="118" t="s">
        <v>534</v>
      </c>
      <c r="N135" s="111">
        <v>44742</v>
      </c>
      <c r="O135" s="111"/>
      <c r="P135" s="129" t="str">
        <f>TEXT(Table134[[#This Row],[Implementation Due Date]],"YYYY")</f>
        <v>2022</v>
      </c>
      <c r="Q135" s="130" t="str">
        <f>"Q"&amp;ROUNDUP(MONTH(Table134[[#This Row],[Implementation Due Date]])/3,0)</f>
        <v>Q2</v>
      </c>
      <c r="R135" s="98">
        <v>2024</v>
      </c>
      <c r="S135" s="95" t="s">
        <v>711</v>
      </c>
      <c r="T135" s="91"/>
      <c r="U135" s="125" t="s">
        <v>706</v>
      </c>
      <c r="V135" s="73" t="s">
        <v>707</v>
      </c>
      <c r="W135" s="15" t="s">
        <v>706</v>
      </c>
      <c r="X135" s="15"/>
      <c r="Y135" s="26" t="s">
        <v>1222</v>
      </c>
      <c r="Z135" s="25"/>
    </row>
    <row r="136" spans="1:26" ht="388.8" x14ac:dyDescent="0.3">
      <c r="A136" s="15">
        <f t="shared" si="2"/>
        <v>133</v>
      </c>
      <c r="B136" s="15" t="s">
        <v>699</v>
      </c>
      <c r="C136" s="15" t="s">
        <v>699</v>
      </c>
      <c r="D136" s="15">
        <v>2022</v>
      </c>
      <c r="E136" s="15"/>
      <c r="F136" s="15" t="s">
        <v>227</v>
      </c>
      <c r="G136" s="15" t="s">
        <v>1223</v>
      </c>
      <c r="H136" s="102" t="s">
        <v>1224</v>
      </c>
      <c r="I136" s="63" t="s">
        <v>1225</v>
      </c>
      <c r="J136" s="25" t="s">
        <v>1226</v>
      </c>
      <c r="K136" s="67" t="s">
        <v>50</v>
      </c>
      <c r="L136" s="20" t="s">
        <v>26</v>
      </c>
      <c r="M136" s="118" t="s">
        <v>534</v>
      </c>
      <c r="N136" s="111">
        <v>44926</v>
      </c>
      <c r="O136" s="111"/>
      <c r="P136" s="129" t="str">
        <f>TEXT(Table134[[#This Row],[Implementation Due Date]],"YYYY")</f>
        <v>2022</v>
      </c>
      <c r="Q136" s="130" t="str">
        <f>"Q"&amp;ROUNDUP(MONTH(Table134[[#This Row],[Implementation Due Date]])/3,0)</f>
        <v>Q4</v>
      </c>
      <c r="R136" s="98">
        <v>2025</v>
      </c>
      <c r="S136" s="95" t="s">
        <v>890</v>
      </c>
      <c r="T136" s="91"/>
      <c r="U136" s="126" t="s">
        <v>706</v>
      </c>
      <c r="V136" s="73" t="s">
        <v>707</v>
      </c>
      <c r="W136" s="15" t="s">
        <v>706</v>
      </c>
      <c r="X136" s="15"/>
      <c r="Y136" s="26" t="s">
        <v>1227</v>
      </c>
      <c r="Z136" s="25"/>
    </row>
    <row r="137" spans="1:26" ht="273.60000000000002" x14ac:dyDescent="0.3">
      <c r="A137" s="15">
        <f t="shared" si="2"/>
        <v>134</v>
      </c>
      <c r="B137" s="15" t="s">
        <v>699</v>
      </c>
      <c r="C137" s="15" t="s">
        <v>699</v>
      </c>
      <c r="D137" s="15">
        <v>2022</v>
      </c>
      <c r="E137" s="15"/>
      <c r="F137" s="15" t="s">
        <v>227</v>
      </c>
      <c r="G137" s="15" t="s">
        <v>1223</v>
      </c>
      <c r="H137" s="104" t="s">
        <v>1228</v>
      </c>
      <c r="I137" s="63" t="s">
        <v>1229</v>
      </c>
      <c r="J137" s="25" t="s">
        <v>1230</v>
      </c>
      <c r="K137" s="67" t="s">
        <v>50</v>
      </c>
      <c r="L137" s="20" t="s">
        <v>26</v>
      </c>
      <c r="M137" s="118" t="s">
        <v>534</v>
      </c>
      <c r="N137" s="111">
        <v>44926</v>
      </c>
      <c r="O137" s="111"/>
      <c r="P137" s="129" t="str">
        <f>TEXT(Table134[[#This Row],[Implementation Due Date]],"YYYY")</f>
        <v>2022</v>
      </c>
      <c r="Q137" s="130" t="str">
        <f>"Q"&amp;ROUNDUP(MONTH(Table134[[#This Row],[Implementation Due Date]])/3,0)</f>
        <v>Q4</v>
      </c>
      <c r="R137" s="98">
        <v>2025</v>
      </c>
      <c r="S137" s="95" t="s">
        <v>890</v>
      </c>
      <c r="T137" s="91"/>
      <c r="U137" s="126" t="s">
        <v>706</v>
      </c>
      <c r="V137" s="73" t="s">
        <v>707</v>
      </c>
      <c r="W137" s="15" t="s">
        <v>706</v>
      </c>
      <c r="X137" s="15"/>
      <c r="Y137" s="26" t="s">
        <v>1231</v>
      </c>
      <c r="Z137" s="25"/>
    </row>
    <row r="138" spans="1:26" ht="82.8" x14ac:dyDescent="0.3">
      <c r="A138" s="15">
        <f t="shared" si="2"/>
        <v>135</v>
      </c>
      <c r="B138" s="15" t="s">
        <v>699</v>
      </c>
      <c r="C138" s="15" t="s">
        <v>699</v>
      </c>
      <c r="D138" s="15">
        <v>2022</v>
      </c>
      <c r="E138" s="15"/>
      <c r="F138" s="15" t="s">
        <v>227</v>
      </c>
      <c r="G138" s="15" t="s">
        <v>1223</v>
      </c>
      <c r="H138" s="102" t="s">
        <v>1232</v>
      </c>
      <c r="I138" s="63" t="s">
        <v>1233</v>
      </c>
      <c r="J138" s="25" t="s">
        <v>1234</v>
      </c>
      <c r="K138" s="67" t="s">
        <v>50</v>
      </c>
      <c r="L138" s="20" t="s">
        <v>26</v>
      </c>
      <c r="M138" s="118" t="s">
        <v>534</v>
      </c>
      <c r="N138" s="111">
        <v>44926</v>
      </c>
      <c r="O138" s="111"/>
      <c r="P138" s="129" t="str">
        <f>TEXT(Table134[[#This Row],[Implementation Due Date]],"YYYY")</f>
        <v>2022</v>
      </c>
      <c r="Q138" s="130" t="str">
        <f>"Q"&amp;ROUNDUP(MONTH(Table134[[#This Row],[Implementation Due Date]])/3,0)</f>
        <v>Q4</v>
      </c>
      <c r="R138" s="98">
        <v>2024</v>
      </c>
      <c r="S138" s="95" t="s">
        <v>711</v>
      </c>
      <c r="T138" s="91"/>
      <c r="U138" s="125" t="s">
        <v>706</v>
      </c>
      <c r="V138" s="73" t="s">
        <v>707</v>
      </c>
      <c r="W138" s="15" t="s">
        <v>706</v>
      </c>
      <c r="X138" s="15"/>
      <c r="Y138" s="26" t="s">
        <v>1235</v>
      </c>
      <c r="Z138" s="25"/>
    </row>
    <row r="139" spans="1:26" ht="115.2" x14ac:dyDescent="0.3">
      <c r="A139" s="15">
        <f t="shared" si="2"/>
        <v>136</v>
      </c>
      <c r="B139" s="15" t="s">
        <v>699</v>
      </c>
      <c r="C139" s="15" t="s">
        <v>699</v>
      </c>
      <c r="D139" s="15">
        <v>2022</v>
      </c>
      <c r="E139" s="15"/>
      <c r="F139" s="15" t="s">
        <v>227</v>
      </c>
      <c r="G139" s="15" t="s">
        <v>1223</v>
      </c>
      <c r="H139" s="102" t="s">
        <v>1236</v>
      </c>
      <c r="I139" s="63" t="s">
        <v>1237</v>
      </c>
      <c r="J139" s="25" t="s">
        <v>1238</v>
      </c>
      <c r="K139" s="67" t="s">
        <v>50</v>
      </c>
      <c r="L139" s="20" t="s">
        <v>26</v>
      </c>
      <c r="M139" s="118" t="s">
        <v>534</v>
      </c>
      <c r="N139" s="111">
        <v>44926</v>
      </c>
      <c r="O139" s="111"/>
      <c r="P139" s="129" t="str">
        <f>TEXT(Table134[[#This Row],[Implementation Due Date]],"YYYY")</f>
        <v>2022</v>
      </c>
      <c r="Q139" s="130" t="str">
        <f>"Q"&amp;ROUNDUP(MONTH(Table134[[#This Row],[Implementation Due Date]])/3,0)</f>
        <v>Q4</v>
      </c>
      <c r="R139" s="98">
        <v>2024</v>
      </c>
      <c r="S139" s="95" t="s">
        <v>711</v>
      </c>
      <c r="T139" s="91"/>
      <c r="U139" s="125" t="s">
        <v>706</v>
      </c>
      <c r="V139" s="73" t="s">
        <v>707</v>
      </c>
      <c r="W139" s="15" t="s">
        <v>706</v>
      </c>
      <c r="X139" s="15"/>
      <c r="Y139" s="26" t="s">
        <v>1239</v>
      </c>
      <c r="Z139" s="25"/>
    </row>
    <row r="140" spans="1:26" ht="100.8" x14ac:dyDescent="0.3">
      <c r="A140" s="15">
        <f t="shared" si="2"/>
        <v>137</v>
      </c>
      <c r="B140" s="15" t="s">
        <v>699</v>
      </c>
      <c r="C140" s="15" t="s">
        <v>699</v>
      </c>
      <c r="D140" s="15">
        <v>2022</v>
      </c>
      <c r="E140" s="15"/>
      <c r="F140" s="15" t="s">
        <v>227</v>
      </c>
      <c r="G140" s="15" t="s">
        <v>1223</v>
      </c>
      <c r="H140" s="102" t="s">
        <v>1240</v>
      </c>
      <c r="I140" s="63" t="s">
        <v>1241</v>
      </c>
      <c r="J140" s="25" t="s">
        <v>1242</v>
      </c>
      <c r="K140" s="67" t="s">
        <v>50</v>
      </c>
      <c r="L140" s="20" t="s">
        <v>814</v>
      </c>
      <c r="M140" s="118" t="s">
        <v>534</v>
      </c>
      <c r="N140" s="111">
        <v>44926</v>
      </c>
      <c r="O140" s="111"/>
      <c r="P140" s="129" t="str">
        <f>TEXT(Table134[[#This Row],[Implementation Due Date]],"YYYY")</f>
        <v>2022</v>
      </c>
      <c r="Q140" s="130" t="str">
        <f>"Q"&amp;ROUNDUP(MONTH(Table134[[#This Row],[Implementation Due Date]])/3,0)</f>
        <v>Q4</v>
      </c>
      <c r="R140" s="98"/>
      <c r="S140" s="95"/>
      <c r="T140" s="91">
        <v>45657</v>
      </c>
      <c r="U140" s="127" t="s">
        <v>845</v>
      </c>
      <c r="V140" s="73">
        <f>$U$2-Table134[[#This Row],[Implementation Due Date]]</f>
        <v>1277</v>
      </c>
      <c r="W140" s="15" t="s">
        <v>846</v>
      </c>
      <c r="X140" s="15"/>
      <c r="Y140" s="26" t="s">
        <v>1243</v>
      </c>
      <c r="Z140" s="25"/>
    </row>
    <row r="141" spans="1:26" ht="165.6" x14ac:dyDescent="0.3">
      <c r="A141" s="15">
        <f t="shared" si="2"/>
        <v>138</v>
      </c>
      <c r="B141" s="15" t="s">
        <v>699</v>
      </c>
      <c r="C141" s="15" t="s">
        <v>699</v>
      </c>
      <c r="D141" s="15">
        <v>2022</v>
      </c>
      <c r="E141" s="15"/>
      <c r="F141" s="15" t="s">
        <v>227</v>
      </c>
      <c r="G141" s="15" t="s">
        <v>1223</v>
      </c>
      <c r="H141" s="102" t="s">
        <v>1244</v>
      </c>
      <c r="I141" s="63" t="s">
        <v>1245</v>
      </c>
      <c r="J141" s="25" t="s">
        <v>1246</v>
      </c>
      <c r="K141" s="67" t="s">
        <v>50</v>
      </c>
      <c r="L141" s="20" t="s">
        <v>26</v>
      </c>
      <c r="M141" s="118" t="s">
        <v>534</v>
      </c>
      <c r="N141" s="111">
        <v>44926</v>
      </c>
      <c r="O141" s="111"/>
      <c r="P141" s="129" t="str">
        <f>TEXT(Table134[[#This Row],[Implementation Due Date]],"YYYY")</f>
        <v>2022</v>
      </c>
      <c r="Q141" s="130" t="str">
        <f>"Q"&amp;ROUNDUP(MONTH(Table134[[#This Row],[Implementation Due Date]])/3,0)</f>
        <v>Q4</v>
      </c>
      <c r="R141" s="98"/>
      <c r="S141" s="95"/>
      <c r="T141" s="91">
        <v>45657</v>
      </c>
      <c r="U141" s="127" t="s">
        <v>845</v>
      </c>
      <c r="V141" s="73">
        <f>$U$2-Table134[[#This Row],[Implementation Due Date]]</f>
        <v>1277</v>
      </c>
      <c r="W141" s="15" t="s">
        <v>846</v>
      </c>
      <c r="X141" s="15"/>
      <c r="Y141" s="26" t="s">
        <v>1247</v>
      </c>
      <c r="Z141" s="25"/>
    </row>
    <row r="142" spans="1:26" ht="55.2" x14ac:dyDescent="0.3">
      <c r="A142" s="15">
        <f t="shared" si="2"/>
        <v>139</v>
      </c>
      <c r="B142" s="15" t="s">
        <v>699</v>
      </c>
      <c r="C142" s="15" t="s">
        <v>699</v>
      </c>
      <c r="D142" s="15">
        <v>2022</v>
      </c>
      <c r="E142" s="15"/>
      <c r="F142" s="15" t="s">
        <v>227</v>
      </c>
      <c r="G142" s="15" t="s">
        <v>1223</v>
      </c>
      <c r="H142" s="102" t="s">
        <v>1248</v>
      </c>
      <c r="I142" s="63" t="s">
        <v>1249</v>
      </c>
      <c r="J142" s="25" t="s">
        <v>1250</v>
      </c>
      <c r="K142" s="67" t="s">
        <v>50</v>
      </c>
      <c r="L142" s="20" t="s">
        <v>55</v>
      </c>
      <c r="M142" s="118" t="s">
        <v>534</v>
      </c>
      <c r="N142" s="111">
        <v>44926</v>
      </c>
      <c r="O142" s="111"/>
      <c r="P142" s="129" t="str">
        <f>TEXT(Table134[[#This Row],[Implementation Due Date]],"YYYY")</f>
        <v>2022</v>
      </c>
      <c r="Q142" s="130" t="str">
        <f>"Q"&amp;ROUNDUP(MONTH(Table134[[#This Row],[Implementation Due Date]])/3,0)</f>
        <v>Q4</v>
      </c>
      <c r="R142" s="98">
        <v>2022</v>
      </c>
      <c r="S142" s="95" t="s">
        <v>705</v>
      </c>
      <c r="T142" s="91"/>
      <c r="U142" s="125" t="s">
        <v>706</v>
      </c>
      <c r="V142" s="73" t="s">
        <v>707</v>
      </c>
      <c r="W142" s="15" t="s">
        <v>706</v>
      </c>
      <c r="X142" s="15"/>
      <c r="Y142" s="26" t="s">
        <v>1251</v>
      </c>
      <c r="Z142" s="25"/>
    </row>
    <row r="143" spans="1:26" ht="144" x14ac:dyDescent="0.3">
      <c r="A143" s="15">
        <f t="shared" si="2"/>
        <v>140</v>
      </c>
      <c r="B143" s="15" t="s">
        <v>699</v>
      </c>
      <c r="C143" s="15" t="s">
        <v>699</v>
      </c>
      <c r="D143" s="15">
        <v>2022</v>
      </c>
      <c r="E143" s="15"/>
      <c r="F143" s="15" t="s">
        <v>227</v>
      </c>
      <c r="G143" s="15" t="s">
        <v>1223</v>
      </c>
      <c r="H143" s="102" t="s">
        <v>1252</v>
      </c>
      <c r="I143" s="63" t="s">
        <v>1253</v>
      </c>
      <c r="J143" s="25" t="s">
        <v>1254</v>
      </c>
      <c r="K143" s="67" t="s">
        <v>50</v>
      </c>
      <c r="L143" s="20" t="s">
        <v>55</v>
      </c>
      <c r="M143" s="118" t="s">
        <v>534</v>
      </c>
      <c r="N143" s="111">
        <v>44985</v>
      </c>
      <c r="O143" s="111"/>
      <c r="P143" s="129" t="str">
        <f>TEXT(Table134[[#This Row],[Implementation Due Date]],"YYYY")</f>
        <v>2023</v>
      </c>
      <c r="Q143" s="130" t="str">
        <f>"Q"&amp;ROUNDUP(MONTH(Table134[[#This Row],[Implementation Due Date]])/3,0)</f>
        <v>Q1</v>
      </c>
      <c r="R143" s="98">
        <v>2024</v>
      </c>
      <c r="S143" s="95" t="s">
        <v>711</v>
      </c>
      <c r="T143" s="91"/>
      <c r="U143" s="125" t="s">
        <v>706</v>
      </c>
      <c r="V143" s="73" t="s">
        <v>707</v>
      </c>
      <c r="W143" s="15" t="s">
        <v>706</v>
      </c>
      <c r="X143" s="15"/>
      <c r="Y143" s="26" t="s">
        <v>1255</v>
      </c>
      <c r="Z143" s="25"/>
    </row>
    <row r="144" spans="1:26" ht="115.2" x14ac:dyDescent="0.3">
      <c r="A144" s="15">
        <f t="shared" si="2"/>
        <v>141</v>
      </c>
      <c r="B144" s="15" t="s">
        <v>699</v>
      </c>
      <c r="C144" s="15" t="s">
        <v>699</v>
      </c>
      <c r="D144" s="15">
        <v>2022</v>
      </c>
      <c r="E144" s="15"/>
      <c r="F144" s="15" t="s">
        <v>227</v>
      </c>
      <c r="G144" s="15" t="s">
        <v>1223</v>
      </c>
      <c r="H144" s="102" t="s">
        <v>1256</v>
      </c>
      <c r="I144" s="63" t="s">
        <v>1257</v>
      </c>
      <c r="J144" s="25" t="s">
        <v>1258</v>
      </c>
      <c r="K144" s="67" t="s">
        <v>50</v>
      </c>
      <c r="L144" s="20" t="s">
        <v>26</v>
      </c>
      <c r="M144" s="118" t="s">
        <v>534</v>
      </c>
      <c r="N144" s="111">
        <v>44926</v>
      </c>
      <c r="O144" s="111"/>
      <c r="P144" s="129" t="str">
        <f>TEXT(Table134[[#This Row],[Implementation Due Date]],"YYYY")</f>
        <v>2022</v>
      </c>
      <c r="Q144" s="130" t="str">
        <f>"Q"&amp;ROUNDUP(MONTH(Table134[[#This Row],[Implementation Due Date]])/3,0)</f>
        <v>Q4</v>
      </c>
      <c r="R144" s="98">
        <v>2024</v>
      </c>
      <c r="S144" s="95" t="s">
        <v>711</v>
      </c>
      <c r="T144" s="91"/>
      <c r="U144" s="125" t="s">
        <v>706</v>
      </c>
      <c r="V144" s="73" t="s">
        <v>707</v>
      </c>
      <c r="W144" s="15" t="s">
        <v>706</v>
      </c>
      <c r="X144" s="15"/>
      <c r="Y144" s="26" t="s">
        <v>1259</v>
      </c>
      <c r="Z144" s="25"/>
    </row>
    <row r="145" spans="1:26" ht="110.4" x14ac:dyDescent="0.3">
      <c r="A145" s="15">
        <f t="shared" si="2"/>
        <v>142</v>
      </c>
      <c r="B145" s="15" t="s">
        <v>699</v>
      </c>
      <c r="C145" s="15" t="s">
        <v>699</v>
      </c>
      <c r="D145" s="15">
        <v>2022</v>
      </c>
      <c r="E145" s="15"/>
      <c r="F145" s="15" t="s">
        <v>227</v>
      </c>
      <c r="G145" s="15" t="s">
        <v>1223</v>
      </c>
      <c r="H145" s="102" t="s">
        <v>244</v>
      </c>
      <c r="I145" s="63" t="s">
        <v>1260</v>
      </c>
      <c r="J145" s="25" t="s">
        <v>1261</v>
      </c>
      <c r="K145" s="67" t="s">
        <v>50</v>
      </c>
      <c r="L145" s="20" t="s">
        <v>26</v>
      </c>
      <c r="M145" s="118" t="s">
        <v>534</v>
      </c>
      <c r="N145" s="111">
        <v>44926</v>
      </c>
      <c r="O145" s="111"/>
      <c r="P145" s="129" t="str">
        <f>TEXT(Table134[[#This Row],[Implementation Due Date]],"YYYY")</f>
        <v>2022</v>
      </c>
      <c r="Q145" s="130" t="str">
        <f>"Q"&amp;ROUNDUP(MONTH(Table134[[#This Row],[Implementation Due Date]])/3,0)</f>
        <v>Q4</v>
      </c>
      <c r="R145" s="98">
        <v>2022</v>
      </c>
      <c r="S145" s="95" t="s">
        <v>705</v>
      </c>
      <c r="T145" s="91"/>
      <c r="U145" s="125" t="s">
        <v>706</v>
      </c>
      <c r="V145" s="73" t="s">
        <v>707</v>
      </c>
      <c r="W145" s="15" t="s">
        <v>706</v>
      </c>
      <c r="X145" s="15"/>
      <c r="Y145" s="26" t="s">
        <v>1262</v>
      </c>
      <c r="Z145" s="25"/>
    </row>
    <row r="146" spans="1:26" ht="244.8" x14ac:dyDescent="0.3">
      <c r="A146" s="15">
        <f t="shared" si="2"/>
        <v>143</v>
      </c>
      <c r="B146" s="15" t="s">
        <v>699</v>
      </c>
      <c r="C146" s="15" t="s">
        <v>699</v>
      </c>
      <c r="D146" s="15">
        <v>2022</v>
      </c>
      <c r="E146" s="15"/>
      <c r="F146" s="15" t="s">
        <v>227</v>
      </c>
      <c r="G146" s="15" t="s">
        <v>1223</v>
      </c>
      <c r="H146" s="102" t="s">
        <v>1263</v>
      </c>
      <c r="I146" s="63" t="s">
        <v>1264</v>
      </c>
      <c r="J146" s="25" t="s">
        <v>1265</v>
      </c>
      <c r="K146" s="67" t="s">
        <v>50</v>
      </c>
      <c r="L146" s="20" t="s">
        <v>26</v>
      </c>
      <c r="M146" s="118" t="s">
        <v>534</v>
      </c>
      <c r="N146" s="111">
        <v>44926</v>
      </c>
      <c r="O146" s="111"/>
      <c r="P146" s="129" t="str">
        <f>TEXT(Table134[[#This Row],[Implementation Due Date]],"YYYY")</f>
        <v>2022</v>
      </c>
      <c r="Q146" s="130" t="str">
        <f>"Q"&amp;ROUNDUP(MONTH(Table134[[#This Row],[Implementation Due Date]])/3,0)</f>
        <v>Q4</v>
      </c>
      <c r="R146" s="98">
        <v>2024</v>
      </c>
      <c r="S146" s="95" t="s">
        <v>711</v>
      </c>
      <c r="T146" s="91"/>
      <c r="U146" s="125" t="s">
        <v>706</v>
      </c>
      <c r="V146" s="73" t="s">
        <v>707</v>
      </c>
      <c r="W146" s="15" t="s">
        <v>706</v>
      </c>
      <c r="X146" s="15"/>
      <c r="Y146" s="26" t="s">
        <v>1266</v>
      </c>
      <c r="Z146" s="25"/>
    </row>
    <row r="147" spans="1:26" ht="72" x14ac:dyDescent="0.3">
      <c r="A147" s="15">
        <f t="shared" si="2"/>
        <v>144</v>
      </c>
      <c r="B147" s="15" t="s">
        <v>699</v>
      </c>
      <c r="C147" s="15" t="s">
        <v>699</v>
      </c>
      <c r="D147" s="15">
        <v>2022</v>
      </c>
      <c r="E147" s="15"/>
      <c r="F147" s="15" t="s">
        <v>227</v>
      </c>
      <c r="G147" s="15" t="s">
        <v>1223</v>
      </c>
      <c r="H147" s="102" t="s">
        <v>1267</v>
      </c>
      <c r="I147" s="63" t="s">
        <v>1268</v>
      </c>
      <c r="J147" s="25" t="s">
        <v>1269</v>
      </c>
      <c r="K147" s="67" t="s">
        <v>50</v>
      </c>
      <c r="L147" s="20" t="s">
        <v>55</v>
      </c>
      <c r="M147" s="118" t="s">
        <v>534</v>
      </c>
      <c r="N147" s="111">
        <v>44926</v>
      </c>
      <c r="O147" s="111"/>
      <c r="P147" s="129" t="str">
        <f>TEXT(Table134[[#This Row],[Implementation Due Date]],"YYYY")</f>
        <v>2022</v>
      </c>
      <c r="Q147" s="130" t="str">
        <f>"Q"&amp;ROUNDUP(MONTH(Table134[[#This Row],[Implementation Due Date]])/3,0)</f>
        <v>Q4</v>
      </c>
      <c r="R147" s="98">
        <v>2022</v>
      </c>
      <c r="S147" s="95" t="s">
        <v>705</v>
      </c>
      <c r="T147" s="91"/>
      <c r="U147" s="125" t="s">
        <v>706</v>
      </c>
      <c r="V147" s="73" t="s">
        <v>707</v>
      </c>
      <c r="W147" s="15" t="s">
        <v>706</v>
      </c>
      <c r="X147" s="15"/>
      <c r="Y147" s="26" t="s">
        <v>1270</v>
      </c>
      <c r="Z147" s="25"/>
    </row>
    <row r="148" spans="1:26" ht="207" x14ac:dyDescent="0.3">
      <c r="A148" s="15">
        <f t="shared" si="2"/>
        <v>145</v>
      </c>
      <c r="B148" s="15" t="s">
        <v>699</v>
      </c>
      <c r="C148" s="15" t="s">
        <v>699</v>
      </c>
      <c r="D148" s="15">
        <v>2022</v>
      </c>
      <c r="E148" s="15"/>
      <c r="F148" s="15" t="s">
        <v>227</v>
      </c>
      <c r="G148" s="15" t="s">
        <v>1223</v>
      </c>
      <c r="H148" s="104" t="s">
        <v>1271</v>
      </c>
      <c r="I148" s="63" t="s">
        <v>1272</v>
      </c>
      <c r="J148" s="25" t="s">
        <v>1273</v>
      </c>
      <c r="K148" s="67" t="s">
        <v>50</v>
      </c>
      <c r="L148" s="20" t="s">
        <v>26</v>
      </c>
      <c r="M148" s="118" t="s">
        <v>534</v>
      </c>
      <c r="N148" s="111">
        <v>44926</v>
      </c>
      <c r="O148" s="111"/>
      <c r="P148" s="129" t="str">
        <f>TEXT(Table134[[#This Row],[Implementation Due Date]],"YYYY")</f>
        <v>2022</v>
      </c>
      <c r="Q148" s="130" t="str">
        <f>"Q"&amp;ROUNDUP(MONTH(Table134[[#This Row],[Implementation Due Date]])/3,0)</f>
        <v>Q4</v>
      </c>
      <c r="R148" s="98">
        <v>2025</v>
      </c>
      <c r="S148" s="95" t="s">
        <v>890</v>
      </c>
      <c r="T148" s="91"/>
      <c r="U148" s="126" t="s">
        <v>706</v>
      </c>
      <c r="V148" s="73" t="s">
        <v>707</v>
      </c>
      <c r="W148" s="15" t="s">
        <v>706</v>
      </c>
      <c r="X148" s="15"/>
      <c r="Y148" s="26" t="s">
        <v>1274</v>
      </c>
      <c r="Z148" s="25"/>
    </row>
    <row r="149" spans="1:26" ht="69" x14ac:dyDescent="0.3">
      <c r="A149" s="15">
        <f t="shared" si="2"/>
        <v>146</v>
      </c>
      <c r="B149" s="15" t="s">
        <v>699</v>
      </c>
      <c r="C149" s="15" t="s">
        <v>699</v>
      </c>
      <c r="D149" s="15">
        <v>2022</v>
      </c>
      <c r="E149" s="15"/>
      <c r="F149" s="15" t="s">
        <v>227</v>
      </c>
      <c r="G149" s="15" t="s">
        <v>1223</v>
      </c>
      <c r="H149" s="102" t="s">
        <v>1275</v>
      </c>
      <c r="I149" s="63" t="s">
        <v>1276</v>
      </c>
      <c r="J149" s="25" t="s">
        <v>1277</v>
      </c>
      <c r="K149" s="67" t="s">
        <v>50</v>
      </c>
      <c r="L149" s="20" t="s">
        <v>844</v>
      </c>
      <c r="M149" s="118" t="s">
        <v>534</v>
      </c>
      <c r="N149" s="111">
        <v>44926</v>
      </c>
      <c r="O149" s="111"/>
      <c r="P149" s="129" t="str">
        <f>TEXT(Table134[[#This Row],[Implementation Due Date]],"YYYY")</f>
        <v>2022</v>
      </c>
      <c r="Q149" s="130" t="str">
        <f>"Q"&amp;ROUNDUP(MONTH(Table134[[#This Row],[Implementation Due Date]])/3,0)</f>
        <v>Q4</v>
      </c>
      <c r="R149" s="98">
        <v>2024</v>
      </c>
      <c r="S149" s="95" t="s">
        <v>890</v>
      </c>
      <c r="T149" s="91"/>
      <c r="U149" s="125" t="s">
        <v>706</v>
      </c>
      <c r="V149" s="73" t="s">
        <v>707</v>
      </c>
      <c r="W149" s="15" t="s">
        <v>706</v>
      </c>
      <c r="X149" s="15"/>
      <c r="Y149" s="26" t="s">
        <v>1278</v>
      </c>
      <c r="Z149" s="25"/>
    </row>
    <row r="150" spans="1:26" ht="57.6" x14ac:dyDescent="0.3">
      <c r="A150" s="15">
        <f t="shared" si="2"/>
        <v>147</v>
      </c>
      <c r="B150" s="15" t="s">
        <v>699</v>
      </c>
      <c r="C150" s="15" t="s">
        <v>699</v>
      </c>
      <c r="D150" s="15">
        <v>2022</v>
      </c>
      <c r="E150" s="15"/>
      <c r="F150" s="15" t="s">
        <v>227</v>
      </c>
      <c r="G150" s="15" t="s">
        <v>1223</v>
      </c>
      <c r="H150" s="102" t="s">
        <v>1279</v>
      </c>
      <c r="I150" s="63" t="s">
        <v>1280</v>
      </c>
      <c r="J150" s="25" t="s">
        <v>1281</v>
      </c>
      <c r="K150" s="67" t="s">
        <v>50</v>
      </c>
      <c r="L150" s="20" t="s">
        <v>844</v>
      </c>
      <c r="M150" s="118" t="s">
        <v>534</v>
      </c>
      <c r="N150" s="111">
        <v>44926</v>
      </c>
      <c r="O150" s="111"/>
      <c r="P150" s="129" t="str">
        <f>TEXT(Table134[[#This Row],[Implementation Due Date]],"YYYY")</f>
        <v>2022</v>
      </c>
      <c r="Q150" s="130" t="str">
        <f>"Q"&amp;ROUNDUP(MONTH(Table134[[#This Row],[Implementation Due Date]])/3,0)</f>
        <v>Q4</v>
      </c>
      <c r="R150" s="98">
        <v>2025</v>
      </c>
      <c r="S150" s="95" t="s">
        <v>890</v>
      </c>
      <c r="T150" s="91"/>
      <c r="U150" s="126" t="s">
        <v>706</v>
      </c>
      <c r="V150" s="73" t="s">
        <v>707</v>
      </c>
      <c r="W150" s="15" t="s">
        <v>706</v>
      </c>
      <c r="X150" s="15"/>
      <c r="Y150" s="26" t="s">
        <v>1282</v>
      </c>
      <c r="Z150" s="25"/>
    </row>
    <row r="151" spans="1:26" ht="158.4" x14ac:dyDescent="0.3">
      <c r="A151" s="15">
        <f>ROW(A151)-3</f>
        <v>148</v>
      </c>
      <c r="B151" s="15" t="s">
        <v>699</v>
      </c>
      <c r="C151" s="15" t="s">
        <v>699</v>
      </c>
      <c r="D151" s="15">
        <v>2022</v>
      </c>
      <c r="E151" s="15"/>
      <c r="F151" s="15" t="s">
        <v>227</v>
      </c>
      <c r="G151" s="15" t="s">
        <v>1223</v>
      </c>
      <c r="H151" s="102" t="s">
        <v>288</v>
      </c>
      <c r="I151" s="63" t="s">
        <v>1283</v>
      </c>
      <c r="J151" s="25" t="s">
        <v>1284</v>
      </c>
      <c r="K151" s="68" t="s">
        <v>79</v>
      </c>
      <c r="L151" s="20" t="s">
        <v>26</v>
      </c>
      <c r="M151" s="118" t="s">
        <v>534</v>
      </c>
      <c r="N151" s="111">
        <v>44926</v>
      </c>
      <c r="O151" s="111"/>
      <c r="P151" s="129" t="str">
        <f>TEXT(Table134[[#This Row],[Implementation Due Date]],"YYYY")</f>
        <v>2022</v>
      </c>
      <c r="Q151" s="130" t="str">
        <f>"Q"&amp;ROUNDUP(MONTH(Table134[[#This Row],[Implementation Due Date]])/3,0)</f>
        <v>Q4</v>
      </c>
      <c r="R151" s="98">
        <v>2025</v>
      </c>
      <c r="S151" s="95" t="s">
        <v>705</v>
      </c>
      <c r="T151" s="91"/>
      <c r="U151" s="126" t="s">
        <v>706</v>
      </c>
      <c r="V151" s="73" t="s">
        <v>707</v>
      </c>
      <c r="W151" s="15" t="s">
        <v>706</v>
      </c>
      <c r="X151" s="15"/>
      <c r="Y151" s="26" t="s">
        <v>1285</v>
      </c>
      <c r="Z151" s="25"/>
    </row>
    <row r="152" spans="1:26" ht="86.4" x14ac:dyDescent="0.3">
      <c r="A152" s="15">
        <f t="shared" si="2"/>
        <v>149</v>
      </c>
      <c r="B152" s="15" t="s">
        <v>699</v>
      </c>
      <c r="C152" s="15" t="s">
        <v>699</v>
      </c>
      <c r="D152" s="15">
        <v>2022</v>
      </c>
      <c r="E152" s="15"/>
      <c r="F152" s="15" t="s">
        <v>227</v>
      </c>
      <c r="G152" s="15" t="s">
        <v>1223</v>
      </c>
      <c r="H152" s="102" t="s">
        <v>1286</v>
      </c>
      <c r="I152" s="63" t="s">
        <v>1287</v>
      </c>
      <c r="J152" s="25" t="s">
        <v>1288</v>
      </c>
      <c r="K152" s="68" t="s">
        <v>79</v>
      </c>
      <c r="L152" s="20" t="s">
        <v>55</v>
      </c>
      <c r="M152" s="118" t="s">
        <v>534</v>
      </c>
      <c r="N152" s="111">
        <v>44834</v>
      </c>
      <c r="O152" s="111"/>
      <c r="P152" s="129" t="str">
        <f>TEXT(Table134[[#This Row],[Implementation Due Date]],"YYYY")</f>
        <v>2022</v>
      </c>
      <c r="Q152" s="130" t="str">
        <f>"Q"&amp;ROUNDUP(MONTH(Table134[[#This Row],[Implementation Due Date]])/3,0)</f>
        <v>Q3</v>
      </c>
      <c r="R152" s="98">
        <v>2022</v>
      </c>
      <c r="S152" s="95" t="s">
        <v>705</v>
      </c>
      <c r="T152" s="91"/>
      <c r="U152" s="125" t="s">
        <v>706</v>
      </c>
      <c r="V152" s="73" t="s">
        <v>707</v>
      </c>
      <c r="W152" s="15" t="s">
        <v>706</v>
      </c>
      <c r="X152" s="15"/>
      <c r="Y152" s="26" t="s">
        <v>1289</v>
      </c>
      <c r="Z152" s="25"/>
    </row>
    <row r="153" spans="1:26" ht="409.6" x14ac:dyDescent="0.3">
      <c r="A153" s="15">
        <f t="shared" si="2"/>
        <v>150</v>
      </c>
      <c r="B153" s="15" t="s">
        <v>699</v>
      </c>
      <c r="C153" s="15" t="s">
        <v>699</v>
      </c>
      <c r="D153" s="15">
        <v>2022</v>
      </c>
      <c r="E153" s="15"/>
      <c r="F153" s="15" t="s">
        <v>81</v>
      </c>
      <c r="G153" s="15" t="s">
        <v>1290</v>
      </c>
      <c r="H153" s="102" t="s">
        <v>1291</v>
      </c>
      <c r="I153" s="63" t="s">
        <v>1292</v>
      </c>
      <c r="J153" s="48" t="s">
        <v>1293</v>
      </c>
      <c r="K153" s="68" t="s">
        <v>50</v>
      </c>
      <c r="L153" s="20" t="s">
        <v>26</v>
      </c>
      <c r="M153" s="118" t="s">
        <v>1294</v>
      </c>
      <c r="N153" s="111">
        <v>45107</v>
      </c>
      <c r="O153" s="111"/>
      <c r="P153" s="129" t="str">
        <f>TEXT(Table134[[#This Row],[Implementation Due Date]],"YYYY")</f>
        <v>2023</v>
      </c>
      <c r="Q153" s="130" t="str">
        <f>"Q"&amp;ROUNDUP(MONTH(Table134[[#This Row],[Implementation Due Date]])/3,0)</f>
        <v>Q2</v>
      </c>
      <c r="R153" s="98">
        <v>2025</v>
      </c>
      <c r="S153" s="95" t="s">
        <v>890</v>
      </c>
      <c r="T153" s="91"/>
      <c r="U153" s="126" t="s">
        <v>706</v>
      </c>
      <c r="V153" s="73" t="s">
        <v>707</v>
      </c>
      <c r="W153" s="15" t="s">
        <v>706</v>
      </c>
      <c r="X153" s="15"/>
      <c r="Y153" s="26" t="s">
        <v>1295</v>
      </c>
      <c r="Z153" s="25"/>
    </row>
    <row r="154" spans="1:26" ht="55.2" x14ac:dyDescent="0.3">
      <c r="A154" s="49">
        <f t="shared" si="2"/>
        <v>151</v>
      </c>
      <c r="B154" s="15" t="s">
        <v>699</v>
      </c>
      <c r="C154" s="15" t="s">
        <v>699</v>
      </c>
      <c r="D154" s="15">
        <v>2022</v>
      </c>
      <c r="E154" s="49"/>
      <c r="F154" s="49" t="s">
        <v>81</v>
      </c>
      <c r="G154" s="49" t="s">
        <v>1290</v>
      </c>
      <c r="H154" s="102" t="s">
        <v>1296</v>
      </c>
      <c r="I154" s="63" t="s">
        <v>1297</v>
      </c>
      <c r="J154" s="50" t="s">
        <v>1298</v>
      </c>
      <c r="K154" s="68" t="s">
        <v>50</v>
      </c>
      <c r="L154" s="74" t="s">
        <v>814</v>
      </c>
      <c r="M154" s="119" t="s">
        <v>1294</v>
      </c>
      <c r="N154" s="111">
        <v>45107</v>
      </c>
      <c r="O154" s="111"/>
      <c r="P154" s="129" t="str">
        <f>TEXT(Table134[[#This Row],[Implementation Due Date]],"YYYY")</f>
        <v>2023</v>
      </c>
      <c r="Q154" s="130" t="str">
        <f>"Q"&amp;ROUNDUP(MONTH(Table134[[#This Row],[Implementation Due Date]])/3,0)</f>
        <v>Q2</v>
      </c>
      <c r="R154" s="98"/>
      <c r="S154" s="95"/>
      <c r="T154" s="92">
        <v>45657</v>
      </c>
      <c r="U154" s="127" t="s">
        <v>845</v>
      </c>
      <c r="V154" s="73">
        <f>$U$2-Table134[[#This Row],[Implementation Due Date]]</f>
        <v>1096</v>
      </c>
      <c r="W154" s="15" t="s">
        <v>846</v>
      </c>
      <c r="X154" s="49"/>
      <c r="Y154" s="88" t="s">
        <v>1299</v>
      </c>
      <c r="Z154" s="50"/>
    </row>
    <row r="155" spans="1:26" ht="55.2" x14ac:dyDescent="0.3">
      <c r="A155" s="49">
        <f t="shared" si="2"/>
        <v>152</v>
      </c>
      <c r="B155" s="15" t="s">
        <v>699</v>
      </c>
      <c r="C155" s="15" t="s">
        <v>699</v>
      </c>
      <c r="D155" s="15">
        <v>2022</v>
      </c>
      <c r="E155" s="49"/>
      <c r="F155" s="49" t="s">
        <v>81</v>
      </c>
      <c r="G155" s="49" t="s">
        <v>1290</v>
      </c>
      <c r="H155" s="102" t="s">
        <v>1300</v>
      </c>
      <c r="I155" s="64" t="s">
        <v>1301</v>
      </c>
      <c r="J155" s="50" t="s">
        <v>1302</v>
      </c>
      <c r="K155" s="68" t="s">
        <v>50</v>
      </c>
      <c r="L155" s="74" t="s">
        <v>814</v>
      </c>
      <c r="M155" s="71" t="s">
        <v>1294</v>
      </c>
      <c r="N155" s="111">
        <v>45107</v>
      </c>
      <c r="O155" s="111"/>
      <c r="P155" s="129" t="str">
        <f>TEXT(Table134[[#This Row],[Implementation Due Date]],"YYYY")</f>
        <v>2023</v>
      </c>
      <c r="Q155" s="130" t="str">
        <f>"Q"&amp;ROUNDUP(MONTH(Table134[[#This Row],[Implementation Due Date]])/3,0)</f>
        <v>Q2</v>
      </c>
      <c r="R155" s="98"/>
      <c r="S155" s="95"/>
      <c r="T155" s="92">
        <v>45657</v>
      </c>
      <c r="U155" s="127" t="s">
        <v>845</v>
      </c>
      <c r="V155" s="73">
        <f>$U$2-Table134[[#This Row],[Implementation Due Date]]</f>
        <v>1096</v>
      </c>
      <c r="W155" s="15" t="s">
        <v>846</v>
      </c>
      <c r="X155" s="49"/>
      <c r="Y155" s="88" t="s">
        <v>1303</v>
      </c>
      <c r="Z155" s="50"/>
    </row>
    <row r="156" spans="1:26" ht="57.6" x14ac:dyDescent="0.3">
      <c r="A156" s="15">
        <f t="shared" si="2"/>
        <v>153</v>
      </c>
      <c r="B156" s="15" t="s">
        <v>699</v>
      </c>
      <c r="C156" s="15" t="s">
        <v>699</v>
      </c>
      <c r="D156" s="15">
        <v>2022</v>
      </c>
      <c r="E156" s="15"/>
      <c r="F156" s="15" t="s">
        <v>81</v>
      </c>
      <c r="G156" s="15" t="s">
        <v>1290</v>
      </c>
      <c r="H156" s="102" t="s">
        <v>1304</v>
      </c>
      <c r="I156" s="63" t="s">
        <v>1305</v>
      </c>
      <c r="J156" s="25" t="s">
        <v>1306</v>
      </c>
      <c r="K156" s="68" t="s">
        <v>50</v>
      </c>
      <c r="L156" s="20" t="s">
        <v>55</v>
      </c>
      <c r="M156" s="71" t="s">
        <v>1294</v>
      </c>
      <c r="N156" s="111">
        <v>45016</v>
      </c>
      <c r="O156" s="111"/>
      <c r="P156" s="129" t="str">
        <f>TEXT(Table134[[#This Row],[Implementation Due Date]],"YYYY")</f>
        <v>2023</v>
      </c>
      <c r="Q156" s="130" t="str">
        <f>"Q"&amp;ROUNDUP(MONTH(Table134[[#This Row],[Implementation Due Date]])/3,0)</f>
        <v>Q1</v>
      </c>
      <c r="R156" s="98">
        <v>2024</v>
      </c>
      <c r="S156" s="95" t="s">
        <v>890</v>
      </c>
      <c r="T156" s="91"/>
      <c r="U156" s="125" t="s">
        <v>706</v>
      </c>
      <c r="V156" s="73" t="s">
        <v>707</v>
      </c>
      <c r="W156" s="15" t="s">
        <v>706</v>
      </c>
      <c r="X156" s="49"/>
      <c r="Y156" s="88" t="s">
        <v>1307</v>
      </c>
      <c r="Z156" s="50"/>
    </row>
    <row r="157" spans="1:26" ht="179.4" x14ac:dyDescent="0.3">
      <c r="A157" s="15">
        <f t="shared" si="2"/>
        <v>154</v>
      </c>
      <c r="B157" s="15" t="s">
        <v>699</v>
      </c>
      <c r="C157" s="15" t="s">
        <v>699</v>
      </c>
      <c r="D157" s="15">
        <v>2022</v>
      </c>
      <c r="E157" s="15"/>
      <c r="F157" s="15" t="s">
        <v>81</v>
      </c>
      <c r="G157" s="15" t="s">
        <v>1290</v>
      </c>
      <c r="H157" s="102" t="s">
        <v>1308</v>
      </c>
      <c r="I157" s="63" t="s">
        <v>1309</v>
      </c>
      <c r="J157" s="25" t="s">
        <v>1310</v>
      </c>
      <c r="K157" s="68" t="s">
        <v>50</v>
      </c>
      <c r="L157" s="20" t="s">
        <v>26</v>
      </c>
      <c r="M157" s="71" t="s">
        <v>1294</v>
      </c>
      <c r="N157" s="111">
        <v>44957</v>
      </c>
      <c r="O157" s="111"/>
      <c r="P157" s="129" t="str">
        <f>TEXT(Table134[[#This Row],[Implementation Due Date]],"YYYY")</f>
        <v>2023</v>
      </c>
      <c r="Q157" s="130" t="str">
        <f>"Q"&amp;ROUNDUP(MONTH(Table134[[#This Row],[Implementation Due Date]])/3,0)</f>
        <v>Q1</v>
      </c>
      <c r="R157" s="98"/>
      <c r="S157" s="95"/>
      <c r="T157" s="92">
        <v>45657</v>
      </c>
      <c r="U157" s="127" t="s">
        <v>845</v>
      </c>
      <c r="V157" s="73">
        <f>$U$2-Table134[[#This Row],[Implementation Due Date]]</f>
        <v>1246</v>
      </c>
      <c r="W157" s="15" t="s">
        <v>846</v>
      </c>
      <c r="X157" s="15"/>
      <c r="Y157" s="26" t="s">
        <v>1311</v>
      </c>
      <c r="Z157" s="25"/>
    </row>
    <row r="158" spans="1:26" ht="151.80000000000001" x14ac:dyDescent="0.3">
      <c r="A158" s="15">
        <f t="shared" si="2"/>
        <v>155</v>
      </c>
      <c r="B158" s="15" t="s">
        <v>699</v>
      </c>
      <c r="C158" s="15" t="s">
        <v>699</v>
      </c>
      <c r="D158" s="15">
        <v>2022</v>
      </c>
      <c r="E158" s="15"/>
      <c r="F158" s="15" t="s">
        <v>81</v>
      </c>
      <c r="G158" s="15" t="s">
        <v>1290</v>
      </c>
      <c r="H158" s="102" t="s">
        <v>1312</v>
      </c>
      <c r="I158" s="63" t="s">
        <v>1313</v>
      </c>
      <c r="J158" s="25" t="s">
        <v>1314</v>
      </c>
      <c r="K158" s="68" t="s">
        <v>50</v>
      </c>
      <c r="L158" s="20" t="s">
        <v>814</v>
      </c>
      <c r="M158" s="72" t="s">
        <v>1294</v>
      </c>
      <c r="N158" s="111">
        <v>45016</v>
      </c>
      <c r="O158" s="111"/>
      <c r="P158" s="129" t="str">
        <f>TEXT(Table134[[#This Row],[Implementation Due Date]],"YYYY")</f>
        <v>2023</v>
      </c>
      <c r="Q158" s="130" t="str">
        <f>"Q"&amp;ROUNDUP(MONTH(Table134[[#This Row],[Implementation Due Date]])/3,0)</f>
        <v>Q1</v>
      </c>
      <c r="R158" s="98"/>
      <c r="S158" s="95"/>
      <c r="T158" s="92">
        <v>45657</v>
      </c>
      <c r="U158" s="127" t="s">
        <v>845</v>
      </c>
      <c r="V158" s="73">
        <f>$U$2-Table134[[#This Row],[Implementation Due Date]]</f>
        <v>1187</v>
      </c>
      <c r="W158" s="15" t="s">
        <v>846</v>
      </c>
      <c r="X158" s="15"/>
      <c r="Y158" s="26" t="s">
        <v>1315</v>
      </c>
      <c r="Z158" s="26"/>
    </row>
    <row r="159" spans="1:26" ht="82.8" x14ac:dyDescent="0.3">
      <c r="A159" s="15">
        <f t="shared" si="2"/>
        <v>156</v>
      </c>
      <c r="B159" s="15" t="s">
        <v>699</v>
      </c>
      <c r="C159" s="15" t="s">
        <v>699</v>
      </c>
      <c r="D159" s="15">
        <v>2022</v>
      </c>
      <c r="E159" s="15"/>
      <c r="F159" s="15" t="s">
        <v>81</v>
      </c>
      <c r="G159" s="15" t="s">
        <v>1290</v>
      </c>
      <c r="H159" s="102" t="s">
        <v>1316</v>
      </c>
      <c r="I159" s="63" t="s">
        <v>1317</v>
      </c>
      <c r="J159" s="25" t="s">
        <v>1318</v>
      </c>
      <c r="K159" s="68" t="s">
        <v>50</v>
      </c>
      <c r="L159" s="20" t="s">
        <v>814</v>
      </c>
      <c r="M159" s="72" t="s">
        <v>1294</v>
      </c>
      <c r="N159" s="111">
        <v>45016</v>
      </c>
      <c r="O159" s="111"/>
      <c r="P159" s="129" t="str">
        <f>TEXT(Table134[[#This Row],[Implementation Due Date]],"YYYY")</f>
        <v>2023</v>
      </c>
      <c r="Q159" s="130" t="str">
        <f>"Q"&amp;ROUNDUP(MONTH(Table134[[#This Row],[Implementation Due Date]])/3,0)</f>
        <v>Q1</v>
      </c>
      <c r="R159" s="98">
        <v>2024</v>
      </c>
      <c r="S159" s="95" t="s">
        <v>890</v>
      </c>
      <c r="T159" s="92"/>
      <c r="U159" s="125" t="s">
        <v>706</v>
      </c>
      <c r="V159" s="73" t="s">
        <v>707</v>
      </c>
      <c r="W159" s="15" t="s">
        <v>706</v>
      </c>
      <c r="X159" s="15"/>
      <c r="Y159" s="26" t="s">
        <v>1319</v>
      </c>
      <c r="Z159" s="25"/>
    </row>
    <row r="160" spans="1:26" ht="96.6" x14ac:dyDescent="0.3">
      <c r="A160" s="15">
        <f t="shared" si="2"/>
        <v>157</v>
      </c>
      <c r="B160" s="15" t="s">
        <v>699</v>
      </c>
      <c r="C160" s="15" t="s">
        <v>699</v>
      </c>
      <c r="D160" s="15">
        <v>2022</v>
      </c>
      <c r="E160" s="15"/>
      <c r="F160" s="15" t="s">
        <v>81</v>
      </c>
      <c r="G160" s="15" t="s">
        <v>1290</v>
      </c>
      <c r="H160" s="102" t="s">
        <v>1320</v>
      </c>
      <c r="I160" s="63" t="s">
        <v>1321</v>
      </c>
      <c r="J160" s="25" t="s">
        <v>127</v>
      </c>
      <c r="K160" s="68" t="s">
        <v>50</v>
      </c>
      <c r="L160" s="20" t="s">
        <v>55</v>
      </c>
      <c r="M160" s="72" t="s">
        <v>1294</v>
      </c>
      <c r="N160" s="111">
        <v>45016</v>
      </c>
      <c r="O160" s="111"/>
      <c r="P160" s="129" t="str">
        <f>TEXT(Table134[[#This Row],[Implementation Due Date]],"YYYY")</f>
        <v>2023</v>
      </c>
      <c r="Q160" s="130" t="str">
        <f>"Q"&amp;ROUNDUP(MONTH(Table134[[#This Row],[Implementation Due Date]])/3,0)</f>
        <v>Q1</v>
      </c>
      <c r="R160" s="98">
        <v>2023</v>
      </c>
      <c r="S160" s="95" t="s">
        <v>890</v>
      </c>
      <c r="T160" s="92"/>
      <c r="U160" s="125" t="s">
        <v>706</v>
      </c>
      <c r="V160" s="73" t="s">
        <v>707</v>
      </c>
      <c r="W160" s="15" t="s">
        <v>706</v>
      </c>
      <c r="X160" s="15"/>
      <c r="Y160" s="26" t="s">
        <v>1322</v>
      </c>
      <c r="Z160" s="26"/>
    </row>
    <row r="161" spans="1:26" ht="96.6" x14ac:dyDescent="0.3">
      <c r="A161" s="15">
        <f t="shared" si="2"/>
        <v>158</v>
      </c>
      <c r="B161" s="15" t="s">
        <v>699</v>
      </c>
      <c r="C161" s="15" t="s">
        <v>699</v>
      </c>
      <c r="D161" s="15">
        <v>2022</v>
      </c>
      <c r="E161" s="15"/>
      <c r="F161" s="15" t="s">
        <v>81</v>
      </c>
      <c r="G161" s="15" t="s">
        <v>1290</v>
      </c>
      <c r="H161" s="102" t="s">
        <v>1323</v>
      </c>
      <c r="I161" s="63" t="s">
        <v>1324</v>
      </c>
      <c r="J161" s="25" t="s">
        <v>1325</v>
      </c>
      <c r="K161" s="68" t="s">
        <v>50</v>
      </c>
      <c r="L161" s="20" t="s">
        <v>26</v>
      </c>
      <c r="M161" s="72" t="s">
        <v>1294</v>
      </c>
      <c r="N161" s="111">
        <v>44926</v>
      </c>
      <c r="O161" s="111"/>
      <c r="P161" s="129" t="str">
        <f>TEXT(Table134[[#This Row],[Implementation Due Date]],"YYYY")</f>
        <v>2022</v>
      </c>
      <c r="Q161" s="130" t="str">
        <f>"Q"&amp;ROUNDUP(MONTH(Table134[[#This Row],[Implementation Due Date]])/3,0)</f>
        <v>Q4</v>
      </c>
      <c r="R161" s="98">
        <v>2023</v>
      </c>
      <c r="S161" s="95" t="s">
        <v>890</v>
      </c>
      <c r="T161" s="92"/>
      <c r="U161" s="125" t="s">
        <v>706</v>
      </c>
      <c r="V161" s="73" t="s">
        <v>707</v>
      </c>
      <c r="W161" s="15" t="s">
        <v>706</v>
      </c>
      <c r="X161" s="15"/>
      <c r="Y161" s="26" t="s">
        <v>1326</v>
      </c>
      <c r="Z161" s="26"/>
    </row>
    <row r="162" spans="1:26" ht="72" x14ac:dyDescent="0.3">
      <c r="A162" s="15">
        <f t="shared" si="2"/>
        <v>159</v>
      </c>
      <c r="B162" s="15" t="s">
        <v>699</v>
      </c>
      <c r="C162" s="15" t="s">
        <v>699</v>
      </c>
      <c r="D162" s="15">
        <v>2022</v>
      </c>
      <c r="E162" s="15"/>
      <c r="F162" s="15" t="s">
        <v>81</v>
      </c>
      <c r="G162" s="15" t="s">
        <v>1290</v>
      </c>
      <c r="H162" s="102" t="s">
        <v>1327</v>
      </c>
      <c r="I162" s="63" t="s">
        <v>1328</v>
      </c>
      <c r="J162" s="25" t="s">
        <v>1329</v>
      </c>
      <c r="K162" s="68" t="s">
        <v>50</v>
      </c>
      <c r="L162" s="20" t="s">
        <v>26</v>
      </c>
      <c r="M162" s="72" t="s">
        <v>1294</v>
      </c>
      <c r="N162" s="111">
        <v>45107</v>
      </c>
      <c r="O162" s="111"/>
      <c r="P162" s="129" t="str">
        <f>TEXT(Table134[[#This Row],[Implementation Due Date]],"YYYY")</f>
        <v>2023</v>
      </c>
      <c r="Q162" s="130" t="str">
        <f>"Q"&amp;ROUNDUP(MONTH(Table134[[#This Row],[Implementation Due Date]])/3,0)</f>
        <v>Q2</v>
      </c>
      <c r="R162" s="98">
        <v>2023</v>
      </c>
      <c r="S162" s="95" t="s">
        <v>890</v>
      </c>
      <c r="T162" s="92"/>
      <c r="U162" s="125" t="s">
        <v>706</v>
      </c>
      <c r="V162" s="73" t="s">
        <v>707</v>
      </c>
      <c r="W162" s="15" t="s">
        <v>706</v>
      </c>
      <c r="X162" s="15"/>
      <c r="Y162" s="26" t="s">
        <v>1330</v>
      </c>
      <c r="Z162" s="26"/>
    </row>
    <row r="163" spans="1:26" ht="57.6" x14ac:dyDescent="0.3">
      <c r="A163" s="15">
        <f t="shared" si="2"/>
        <v>160</v>
      </c>
      <c r="B163" s="15" t="s">
        <v>699</v>
      </c>
      <c r="C163" s="15" t="s">
        <v>699</v>
      </c>
      <c r="D163" s="15">
        <v>2022</v>
      </c>
      <c r="E163" s="15"/>
      <c r="F163" s="15" t="s">
        <v>81</v>
      </c>
      <c r="G163" s="15" t="s">
        <v>1290</v>
      </c>
      <c r="H163" s="102" t="s">
        <v>1331</v>
      </c>
      <c r="I163" s="63" t="s">
        <v>1332</v>
      </c>
      <c r="J163" s="25" t="s">
        <v>1333</v>
      </c>
      <c r="K163" s="68" t="s">
        <v>50</v>
      </c>
      <c r="L163" s="20" t="s">
        <v>26</v>
      </c>
      <c r="M163" s="118" t="s">
        <v>1294</v>
      </c>
      <c r="N163" s="111">
        <v>45046</v>
      </c>
      <c r="O163" s="111"/>
      <c r="P163" s="129" t="str">
        <f>TEXT(Table134[[#This Row],[Implementation Due Date]],"YYYY")</f>
        <v>2023</v>
      </c>
      <c r="Q163" s="130" t="str">
        <f>"Q"&amp;ROUNDUP(MONTH(Table134[[#This Row],[Implementation Due Date]])/3,0)</f>
        <v>Q2</v>
      </c>
      <c r="R163" s="98">
        <v>2023</v>
      </c>
      <c r="S163" s="95" t="s">
        <v>890</v>
      </c>
      <c r="T163" s="91"/>
      <c r="U163" s="125" t="s">
        <v>706</v>
      </c>
      <c r="V163" s="73" t="s">
        <v>707</v>
      </c>
      <c r="W163" s="15" t="s">
        <v>706</v>
      </c>
      <c r="X163" s="15"/>
      <c r="Y163" s="26" t="s">
        <v>1334</v>
      </c>
      <c r="Z163" s="26"/>
    </row>
    <row r="164" spans="1:26" ht="82.8" x14ac:dyDescent="0.3">
      <c r="A164" s="15">
        <f t="shared" si="2"/>
        <v>161</v>
      </c>
      <c r="B164" s="15" t="s">
        <v>699</v>
      </c>
      <c r="C164" s="15" t="s">
        <v>699</v>
      </c>
      <c r="D164" s="15">
        <v>2022</v>
      </c>
      <c r="E164" s="15"/>
      <c r="F164" s="15" t="s">
        <v>81</v>
      </c>
      <c r="G164" s="15" t="s">
        <v>1290</v>
      </c>
      <c r="H164" s="102" t="s">
        <v>1335</v>
      </c>
      <c r="I164" s="63" t="s">
        <v>1336</v>
      </c>
      <c r="J164" s="25" t="s">
        <v>1337</v>
      </c>
      <c r="K164" s="68" t="s">
        <v>50</v>
      </c>
      <c r="L164" s="20" t="s">
        <v>26</v>
      </c>
      <c r="M164" s="120" t="s">
        <v>1294</v>
      </c>
      <c r="N164" s="114">
        <v>45107</v>
      </c>
      <c r="O164" s="114"/>
      <c r="P164" s="132" t="str">
        <f>TEXT(Table134[[#This Row],[Implementation Due Date]],"YYYY")</f>
        <v>2023</v>
      </c>
      <c r="Q164" s="133" t="str">
        <f>"Q"&amp;ROUNDUP(MONTH(Table134[[#This Row],[Implementation Due Date]])/3,0)</f>
        <v>Q2</v>
      </c>
      <c r="R164" s="98">
        <v>2024</v>
      </c>
      <c r="S164" s="95" t="s">
        <v>711</v>
      </c>
      <c r="T164" s="93"/>
      <c r="U164" s="125" t="s">
        <v>706</v>
      </c>
      <c r="V164" s="73" t="s">
        <v>707</v>
      </c>
      <c r="W164" s="15" t="s">
        <v>706</v>
      </c>
      <c r="X164" s="15"/>
      <c r="Y164" s="26" t="s">
        <v>1338</v>
      </c>
      <c r="Z164" s="26"/>
    </row>
    <row r="165" spans="1:26" ht="129.6" x14ac:dyDescent="0.3">
      <c r="A165" s="15">
        <f t="shared" si="2"/>
        <v>162</v>
      </c>
      <c r="B165" s="15" t="s">
        <v>699</v>
      </c>
      <c r="C165" s="15" t="s">
        <v>699</v>
      </c>
      <c r="D165" s="15">
        <v>2022</v>
      </c>
      <c r="E165" s="15"/>
      <c r="F165" s="15" t="s">
        <v>81</v>
      </c>
      <c r="G165" s="15" t="s">
        <v>1290</v>
      </c>
      <c r="H165" s="102" t="s">
        <v>1339</v>
      </c>
      <c r="I165" s="63" t="s">
        <v>1340</v>
      </c>
      <c r="J165" s="25" t="s">
        <v>1341</v>
      </c>
      <c r="K165" s="68" t="s">
        <v>50</v>
      </c>
      <c r="L165" s="20" t="s">
        <v>26</v>
      </c>
      <c r="M165" s="118" t="s">
        <v>1294</v>
      </c>
      <c r="N165" s="111">
        <v>45107</v>
      </c>
      <c r="O165" s="111"/>
      <c r="P165" s="129" t="str">
        <f>TEXT(Table134[[#This Row],[Implementation Due Date]],"YYYY")</f>
        <v>2023</v>
      </c>
      <c r="Q165" s="130" t="str">
        <f>"Q"&amp;ROUNDUP(MONTH(Table134[[#This Row],[Implementation Due Date]])/3,0)</f>
        <v>Q2</v>
      </c>
      <c r="R165" s="98">
        <v>2025</v>
      </c>
      <c r="S165" s="95" t="s">
        <v>890</v>
      </c>
      <c r="T165" s="91"/>
      <c r="U165" s="126" t="s">
        <v>706</v>
      </c>
      <c r="V165" s="73" t="s">
        <v>707</v>
      </c>
      <c r="W165" s="15" t="s">
        <v>706</v>
      </c>
      <c r="X165" s="15"/>
      <c r="Y165" s="26" t="s">
        <v>1227</v>
      </c>
      <c r="Z165" s="26"/>
    </row>
    <row r="166" spans="1:26" ht="57.6" x14ac:dyDescent="0.3">
      <c r="A166" s="15">
        <f t="shared" si="2"/>
        <v>163</v>
      </c>
      <c r="B166" s="15" t="s">
        <v>699</v>
      </c>
      <c r="C166" s="15" t="s">
        <v>699</v>
      </c>
      <c r="D166" s="15">
        <v>2022</v>
      </c>
      <c r="E166" s="15"/>
      <c r="F166" s="15" t="s">
        <v>81</v>
      </c>
      <c r="G166" s="15" t="s">
        <v>1290</v>
      </c>
      <c r="H166" s="102" t="s">
        <v>1342</v>
      </c>
      <c r="I166" s="63" t="s">
        <v>1343</v>
      </c>
      <c r="J166" s="25" t="s">
        <v>1344</v>
      </c>
      <c r="K166" s="68" t="s">
        <v>50</v>
      </c>
      <c r="L166" s="20" t="s">
        <v>55</v>
      </c>
      <c r="M166" s="118" t="s">
        <v>1294</v>
      </c>
      <c r="N166" s="111">
        <v>45107</v>
      </c>
      <c r="O166" s="111"/>
      <c r="P166" s="129" t="str">
        <f>TEXT(Table134[[#This Row],[Implementation Due Date]],"YYYY")</f>
        <v>2023</v>
      </c>
      <c r="Q166" s="130" t="str">
        <f>"Q"&amp;ROUNDUP(MONTH(Table134[[#This Row],[Implementation Due Date]])/3,0)</f>
        <v>Q2</v>
      </c>
      <c r="R166" s="98">
        <v>2023</v>
      </c>
      <c r="S166" s="95" t="s">
        <v>890</v>
      </c>
      <c r="T166" s="91"/>
      <c r="U166" s="125" t="s">
        <v>706</v>
      </c>
      <c r="V166" s="73" t="s">
        <v>707</v>
      </c>
      <c r="W166" s="15" t="s">
        <v>706</v>
      </c>
      <c r="X166" s="15"/>
      <c r="Y166" s="26" t="s">
        <v>1345</v>
      </c>
      <c r="Z166" s="26"/>
    </row>
    <row r="167" spans="1:26" ht="115.2" x14ac:dyDescent="0.3">
      <c r="A167" s="15">
        <f t="shared" si="2"/>
        <v>164</v>
      </c>
      <c r="B167" s="15" t="s">
        <v>699</v>
      </c>
      <c r="C167" s="15" t="s">
        <v>699</v>
      </c>
      <c r="D167" s="15">
        <v>2022</v>
      </c>
      <c r="E167" s="15"/>
      <c r="F167" s="15" t="s">
        <v>81</v>
      </c>
      <c r="G167" s="15" t="s">
        <v>1290</v>
      </c>
      <c r="H167" s="102" t="s">
        <v>1346</v>
      </c>
      <c r="I167" s="63" t="s">
        <v>1347</v>
      </c>
      <c r="J167" s="25" t="s">
        <v>1348</v>
      </c>
      <c r="K167" s="68" t="s">
        <v>79</v>
      </c>
      <c r="L167" s="20" t="s">
        <v>26</v>
      </c>
      <c r="M167" s="118" t="s">
        <v>1294</v>
      </c>
      <c r="N167" s="111">
        <v>45107</v>
      </c>
      <c r="O167" s="111"/>
      <c r="P167" s="129" t="str">
        <f>TEXT(Table134[[#This Row],[Implementation Due Date]],"YYYY")</f>
        <v>2023</v>
      </c>
      <c r="Q167" s="130" t="str">
        <f>"Q"&amp;ROUNDUP(MONTH(Table134[[#This Row],[Implementation Due Date]])/3,0)</f>
        <v>Q2</v>
      </c>
      <c r="R167" s="98">
        <v>2023</v>
      </c>
      <c r="S167" s="95" t="s">
        <v>890</v>
      </c>
      <c r="T167" s="91"/>
      <c r="U167" s="125" t="s">
        <v>706</v>
      </c>
      <c r="V167" s="73" t="s">
        <v>707</v>
      </c>
      <c r="W167" s="15" t="s">
        <v>706</v>
      </c>
      <c r="X167" s="15"/>
      <c r="Y167" s="26" t="s">
        <v>1349</v>
      </c>
      <c r="Z167" s="26"/>
    </row>
    <row r="168" spans="1:26" ht="72" x14ac:dyDescent="0.3">
      <c r="A168" s="15">
        <f t="shared" si="2"/>
        <v>165</v>
      </c>
      <c r="B168" s="15" t="s">
        <v>699</v>
      </c>
      <c r="C168" s="15" t="s">
        <v>699</v>
      </c>
      <c r="D168" s="15">
        <v>2022</v>
      </c>
      <c r="E168" s="15"/>
      <c r="F168" s="15" t="s">
        <v>81</v>
      </c>
      <c r="G168" s="15" t="s">
        <v>1290</v>
      </c>
      <c r="H168" s="102" t="s">
        <v>1350</v>
      </c>
      <c r="I168" s="63" t="s">
        <v>1351</v>
      </c>
      <c r="J168" s="25" t="s">
        <v>1352</v>
      </c>
      <c r="K168" s="68" t="s">
        <v>79</v>
      </c>
      <c r="L168" s="20" t="s">
        <v>26</v>
      </c>
      <c r="M168" s="118" t="s">
        <v>1294</v>
      </c>
      <c r="N168" s="111">
        <v>45107</v>
      </c>
      <c r="O168" s="111"/>
      <c r="P168" s="129" t="str">
        <f>TEXT(Table134[[#This Row],[Implementation Due Date]],"YYYY")</f>
        <v>2023</v>
      </c>
      <c r="Q168" s="130" t="str">
        <f>"Q"&amp;ROUNDUP(MONTH(Table134[[#This Row],[Implementation Due Date]])/3,0)</f>
        <v>Q2</v>
      </c>
      <c r="R168" s="98">
        <v>2024</v>
      </c>
      <c r="S168" s="95" t="s">
        <v>890</v>
      </c>
      <c r="T168" s="91"/>
      <c r="U168" s="125" t="s">
        <v>706</v>
      </c>
      <c r="V168" s="73" t="s">
        <v>707</v>
      </c>
      <c r="W168" s="15" t="s">
        <v>706</v>
      </c>
      <c r="X168" s="15"/>
      <c r="Y168" s="26" t="s">
        <v>1353</v>
      </c>
      <c r="Z168" s="26"/>
    </row>
    <row r="169" spans="1:26" ht="230.4" x14ac:dyDescent="0.3">
      <c r="A169" s="15">
        <f t="shared" si="2"/>
        <v>166</v>
      </c>
      <c r="B169" s="15" t="s">
        <v>699</v>
      </c>
      <c r="C169" s="15" t="s">
        <v>699</v>
      </c>
      <c r="D169" s="15">
        <v>2022</v>
      </c>
      <c r="E169" s="15"/>
      <c r="F169" s="15" t="s">
        <v>778</v>
      </c>
      <c r="G169" s="15" t="s">
        <v>1354</v>
      </c>
      <c r="H169" s="102" t="s">
        <v>1355</v>
      </c>
      <c r="I169" s="63" t="s">
        <v>1356</v>
      </c>
      <c r="J169" s="25" t="s">
        <v>1357</v>
      </c>
      <c r="K169" s="68" t="s">
        <v>50</v>
      </c>
      <c r="L169" s="20" t="s">
        <v>26</v>
      </c>
      <c r="M169" s="118" t="s">
        <v>781</v>
      </c>
      <c r="N169" s="111">
        <v>45016</v>
      </c>
      <c r="O169" s="111"/>
      <c r="P169" s="129" t="str">
        <f>TEXT(Table134[[#This Row],[Implementation Due Date]],"YYYY")</f>
        <v>2023</v>
      </c>
      <c r="Q169" s="130" t="str">
        <f>"Q"&amp;ROUNDUP(MONTH(Table134[[#This Row],[Implementation Due Date]])/3,0)</f>
        <v>Q1</v>
      </c>
      <c r="R169" s="98">
        <v>2023</v>
      </c>
      <c r="S169" s="95" t="s">
        <v>705</v>
      </c>
      <c r="T169" s="91"/>
      <c r="U169" s="125" t="s">
        <v>706</v>
      </c>
      <c r="V169" s="73" t="s">
        <v>707</v>
      </c>
      <c r="W169" s="15" t="s">
        <v>706</v>
      </c>
      <c r="X169" s="15"/>
      <c r="Y169" s="26" t="s">
        <v>1358</v>
      </c>
      <c r="Z169" s="26"/>
    </row>
    <row r="170" spans="1:26" ht="129.6" x14ac:dyDescent="0.3">
      <c r="A170" s="15">
        <f t="shared" si="2"/>
        <v>167</v>
      </c>
      <c r="B170" s="15" t="s">
        <v>699</v>
      </c>
      <c r="C170" s="15" t="s">
        <v>699</v>
      </c>
      <c r="D170" s="15">
        <v>2022</v>
      </c>
      <c r="E170" s="15"/>
      <c r="F170" s="15" t="s">
        <v>778</v>
      </c>
      <c r="G170" s="15" t="s">
        <v>1354</v>
      </c>
      <c r="H170" s="102" t="s">
        <v>1359</v>
      </c>
      <c r="I170" s="63" t="s">
        <v>1360</v>
      </c>
      <c r="J170" s="25" t="s">
        <v>1361</v>
      </c>
      <c r="K170" s="68" t="s">
        <v>50</v>
      </c>
      <c r="L170" s="20" t="s">
        <v>814</v>
      </c>
      <c r="M170" s="118" t="s">
        <v>781</v>
      </c>
      <c r="N170" s="111">
        <v>45016</v>
      </c>
      <c r="O170" s="111"/>
      <c r="P170" s="129" t="str">
        <f>TEXT(Table134[[#This Row],[Implementation Due Date]],"YYYY")</f>
        <v>2023</v>
      </c>
      <c r="Q170" s="130" t="str">
        <f>"Q"&amp;ROUNDUP(MONTH(Table134[[#This Row],[Implementation Due Date]])/3,0)</f>
        <v>Q1</v>
      </c>
      <c r="R170" s="98">
        <v>2024</v>
      </c>
      <c r="S170" s="95" t="s">
        <v>890</v>
      </c>
      <c r="T170" s="91"/>
      <c r="U170" s="125" t="s">
        <v>706</v>
      </c>
      <c r="V170" s="73" t="s">
        <v>707</v>
      </c>
      <c r="W170" s="15" t="s">
        <v>706</v>
      </c>
      <c r="X170" s="15"/>
      <c r="Y170" s="26" t="s">
        <v>1362</v>
      </c>
      <c r="Z170" s="26"/>
    </row>
    <row r="171" spans="1:26" ht="110.4" x14ac:dyDescent="0.3">
      <c r="A171" s="15">
        <f t="shared" si="2"/>
        <v>168</v>
      </c>
      <c r="B171" s="15" t="s">
        <v>699</v>
      </c>
      <c r="C171" s="15" t="s">
        <v>699</v>
      </c>
      <c r="D171" s="15">
        <v>2022</v>
      </c>
      <c r="E171" s="15"/>
      <c r="F171" s="15" t="s">
        <v>778</v>
      </c>
      <c r="G171" s="15" t="s">
        <v>1354</v>
      </c>
      <c r="H171" s="102" t="s">
        <v>1363</v>
      </c>
      <c r="I171" s="63" t="s">
        <v>1364</v>
      </c>
      <c r="J171" s="25" t="s">
        <v>1365</v>
      </c>
      <c r="K171" s="68" t="s">
        <v>50</v>
      </c>
      <c r="L171" s="20" t="s">
        <v>844</v>
      </c>
      <c r="M171" s="118" t="s">
        <v>781</v>
      </c>
      <c r="N171" s="111">
        <v>45107</v>
      </c>
      <c r="O171" s="111"/>
      <c r="P171" s="129" t="str">
        <f>TEXT(Table134[[#This Row],[Implementation Due Date]],"YYYY")</f>
        <v>2023</v>
      </c>
      <c r="Q171" s="130" t="str">
        <f>"Q"&amp;ROUNDUP(MONTH(Table134[[#This Row],[Implementation Due Date]])/3,0)</f>
        <v>Q2</v>
      </c>
      <c r="R171" s="98">
        <v>2024</v>
      </c>
      <c r="S171" s="95" t="s">
        <v>890</v>
      </c>
      <c r="T171" s="91"/>
      <c r="U171" s="125" t="s">
        <v>706</v>
      </c>
      <c r="V171" s="73" t="s">
        <v>707</v>
      </c>
      <c r="W171" s="15" t="s">
        <v>706</v>
      </c>
      <c r="X171" s="15"/>
      <c r="Y171" s="26" t="s">
        <v>1366</v>
      </c>
      <c r="Z171" s="26"/>
    </row>
    <row r="172" spans="1:26" ht="96.6" x14ac:dyDescent="0.3">
      <c r="A172" s="15">
        <f t="shared" si="2"/>
        <v>169</v>
      </c>
      <c r="B172" s="15" t="s">
        <v>699</v>
      </c>
      <c r="C172" s="15" t="s">
        <v>699</v>
      </c>
      <c r="D172" s="15">
        <v>2022</v>
      </c>
      <c r="E172" s="15"/>
      <c r="F172" s="15" t="s">
        <v>778</v>
      </c>
      <c r="G172" s="15" t="s">
        <v>1354</v>
      </c>
      <c r="H172" s="102" t="s">
        <v>1367</v>
      </c>
      <c r="I172" s="63" t="s">
        <v>1368</v>
      </c>
      <c r="J172" s="25" t="s">
        <v>1369</v>
      </c>
      <c r="K172" s="68" t="s">
        <v>50</v>
      </c>
      <c r="L172" s="20" t="s">
        <v>55</v>
      </c>
      <c r="M172" s="118" t="s">
        <v>781</v>
      </c>
      <c r="N172" s="111">
        <v>45016</v>
      </c>
      <c r="O172" s="111"/>
      <c r="P172" s="129" t="str">
        <f>TEXT(Table134[[#This Row],[Implementation Due Date]],"YYYY")</f>
        <v>2023</v>
      </c>
      <c r="Q172" s="130" t="str">
        <f>"Q"&amp;ROUNDUP(MONTH(Table134[[#This Row],[Implementation Due Date]])/3,0)</f>
        <v>Q1</v>
      </c>
      <c r="R172" s="98">
        <v>2024</v>
      </c>
      <c r="S172" s="95" t="s">
        <v>890</v>
      </c>
      <c r="T172" s="91"/>
      <c r="U172" s="125" t="s">
        <v>706</v>
      </c>
      <c r="V172" s="73" t="s">
        <v>707</v>
      </c>
      <c r="W172" s="15" t="s">
        <v>706</v>
      </c>
      <c r="X172" s="15"/>
      <c r="Y172" s="26" t="s">
        <v>1370</v>
      </c>
      <c r="Z172" s="26"/>
    </row>
    <row r="173" spans="1:26" ht="358.8" x14ac:dyDescent="0.3">
      <c r="A173" s="15">
        <f t="shared" si="2"/>
        <v>170</v>
      </c>
      <c r="B173" s="15" t="s">
        <v>699</v>
      </c>
      <c r="C173" s="15" t="s">
        <v>699</v>
      </c>
      <c r="D173" s="15">
        <v>2022</v>
      </c>
      <c r="E173" s="15"/>
      <c r="F173" s="15" t="s">
        <v>778</v>
      </c>
      <c r="G173" s="15" t="s">
        <v>1354</v>
      </c>
      <c r="H173" s="102" t="s">
        <v>1371</v>
      </c>
      <c r="I173" s="63" t="s">
        <v>1372</v>
      </c>
      <c r="J173" s="25" t="s">
        <v>1373</v>
      </c>
      <c r="K173" s="68" t="s">
        <v>50</v>
      </c>
      <c r="L173" s="20" t="s">
        <v>55</v>
      </c>
      <c r="M173" s="118" t="s">
        <v>781</v>
      </c>
      <c r="N173" s="111">
        <v>45107</v>
      </c>
      <c r="O173" s="111"/>
      <c r="P173" s="129" t="str">
        <f>TEXT(Table134[[#This Row],[Implementation Due Date]],"YYYY")</f>
        <v>2023</v>
      </c>
      <c r="Q173" s="130" t="str">
        <f>"Q"&amp;ROUNDUP(MONTH(Table134[[#This Row],[Implementation Due Date]])/3,0)</f>
        <v>Q2</v>
      </c>
      <c r="R173" s="98">
        <v>2023</v>
      </c>
      <c r="S173" s="95" t="s">
        <v>890</v>
      </c>
      <c r="T173" s="91"/>
      <c r="U173" s="125" t="s">
        <v>706</v>
      </c>
      <c r="V173" s="73" t="s">
        <v>707</v>
      </c>
      <c r="W173" s="15" t="s">
        <v>706</v>
      </c>
      <c r="X173" s="15"/>
      <c r="Y173" s="26" t="s">
        <v>1374</v>
      </c>
      <c r="Z173" s="26"/>
    </row>
    <row r="174" spans="1:26" ht="230.4" x14ac:dyDescent="0.3">
      <c r="A174" s="15">
        <f t="shared" si="2"/>
        <v>171</v>
      </c>
      <c r="B174" s="15" t="s">
        <v>699</v>
      </c>
      <c r="C174" s="15" t="s">
        <v>699</v>
      </c>
      <c r="D174" s="15">
        <v>2022</v>
      </c>
      <c r="E174" s="15"/>
      <c r="F174" s="15" t="s">
        <v>778</v>
      </c>
      <c r="G174" s="15" t="s">
        <v>1354</v>
      </c>
      <c r="H174" s="102" t="s">
        <v>1375</v>
      </c>
      <c r="I174" s="63" t="s">
        <v>1376</v>
      </c>
      <c r="J174" s="25" t="s">
        <v>1377</v>
      </c>
      <c r="K174" s="68" t="s">
        <v>50</v>
      </c>
      <c r="L174" s="20" t="s">
        <v>26</v>
      </c>
      <c r="M174" s="118" t="s">
        <v>781</v>
      </c>
      <c r="N174" s="111">
        <v>45107</v>
      </c>
      <c r="O174" s="111"/>
      <c r="P174" s="129" t="str">
        <f>TEXT(Table134[[#This Row],[Implementation Due Date]],"YYYY")</f>
        <v>2023</v>
      </c>
      <c r="Q174" s="130" t="str">
        <f>"Q"&amp;ROUNDUP(MONTH(Table134[[#This Row],[Implementation Due Date]])/3,0)</f>
        <v>Q2</v>
      </c>
      <c r="R174" s="98">
        <v>2024</v>
      </c>
      <c r="S174" s="95" t="s">
        <v>890</v>
      </c>
      <c r="T174" s="94"/>
      <c r="U174" s="125" t="s">
        <v>706</v>
      </c>
      <c r="V174" s="73" t="s">
        <v>707</v>
      </c>
      <c r="W174" s="15" t="s">
        <v>706</v>
      </c>
      <c r="X174" s="15"/>
      <c r="Y174" s="26" t="s">
        <v>1378</v>
      </c>
      <c r="Z174" s="26"/>
    </row>
    <row r="175" spans="1:26" ht="187.2" x14ac:dyDescent="0.3">
      <c r="A175" s="15">
        <f>ROW(A175)-3</f>
        <v>172</v>
      </c>
      <c r="B175" s="15" t="s">
        <v>699</v>
      </c>
      <c r="C175" s="15" t="s">
        <v>699</v>
      </c>
      <c r="D175" s="15">
        <v>2022</v>
      </c>
      <c r="E175" s="15"/>
      <c r="F175" s="15" t="s">
        <v>778</v>
      </c>
      <c r="G175" s="15" t="s">
        <v>1354</v>
      </c>
      <c r="H175" s="102" t="s">
        <v>1379</v>
      </c>
      <c r="I175" s="63" t="s">
        <v>1380</v>
      </c>
      <c r="J175" s="25" t="s">
        <v>1381</v>
      </c>
      <c r="K175" s="68" t="s">
        <v>50</v>
      </c>
      <c r="L175" s="20" t="s">
        <v>55</v>
      </c>
      <c r="M175" s="118" t="s">
        <v>781</v>
      </c>
      <c r="N175" s="111">
        <v>45107</v>
      </c>
      <c r="O175" s="111"/>
      <c r="P175" s="129" t="str">
        <f>TEXT(Table134[[#This Row],[Implementation Due Date]],"YYYY")</f>
        <v>2023</v>
      </c>
      <c r="Q175" s="130" t="str">
        <f>"Q"&amp;ROUNDUP(MONTH(Table134[[#This Row],[Implementation Due Date]])/3,0)</f>
        <v>Q2</v>
      </c>
      <c r="R175" s="98">
        <v>2025</v>
      </c>
      <c r="S175" s="95" t="s">
        <v>890</v>
      </c>
      <c r="T175" s="94"/>
      <c r="U175" s="126" t="s">
        <v>706</v>
      </c>
      <c r="V175" s="73" t="s">
        <v>707</v>
      </c>
      <c r="W175" s="15" t="s">
        <v>706</v>
      </c>
      <c r="X175" s="15"/>
      <c r="Y175" s="26" t="s">
        <v>1382</v>
      </c>
      <c r="Z175" s="26"/>
    </row>
    <row r="176" spans="1:26" ht="96.6" x14ac:dyDescent="0.3">
      <c r="A176" s="15">
        <f>ROW(A176)-3</f>
        <v>173</v>
      </c>
      <c r="B176" s="15" t="s">
        <v>699</v>
      </c>
      <c r="C176" s="15" t="s">
        <v>699</v>
      </c>
      <c r="D176" s="15">
        <v>2022</v>
      </c>
      <c r="E176" s="15"/>
      <c r="F176" s="15" t="s">
        <v>778</v>
      </c>
      <c r="G176" s="15" t="s">
        <v>1354</v>
      </c>
      <c r="H176" s="102" t="s">
        <v>1383</v>
      </c>
      <c r="I176" s="63" t="s">
        <v>1384</v>
      </c>
      <c r="J176" s="25" t="s">
        <v>1385</v>
      </c>
      <c r="K176" s="68" t="s">
        <v>50</v>
      </c>
      <c r="L176" s="20" t="s">
        <v>55</v>
      </c>
      <c r="M176" s="118" t="s">
        <v>781</v>
      </c>
      <c r="N176" s="111">
        <v>45107</v>
      </c>
      <c r="O176" s="111"/>
      <c r="P176" s="129" t="str">
        <f>TEXT(Table134[[#This Row],[Implementation Due Date]],"YYYY")</f>
        <v>2023</v>
      </c>
      <c r="Q176" s="130" t="str">
        <f>"Q"&amp;ROUNDUP(MONTH(Table134[[#This Row],[Implementation Due Date]])/3,0)</f>
        <v>Q2</v>
      </c>
      <c r="R176" s="98">
        <v>2024</v>
      </c>
      <c r="S176" s="95" t="s">
        <v>711</v>
      </c>
      <c r="T176" s="94"/>
      <c r="U176" s="125" t="s">
        <v>706</v>
      </c>
      <c r="V176" s="73" t="s">
        <v>707</v>
      </c>
      <c r="W176" s="15" t="s">
        <v>706</v>
      </c>
      <c r="X176" s="15"/>
      <c r="Y176" s="26" t="s">
        <v>1386</v>
      </c>
      <c r="Z176" s="26"/>
    </row>
    <row r="177" spans="1:26" ht="43.2" x14ac:dyDescent="0.3">
      <c r="A177" s="15">
        <f>ROW(A177)-3</f>
        <v>174</v>
      </c>
      <c r="B177" s="15" t="s">
        <v>699</v>
      </c>
      <c r="C177" s="15" t="s">
        <v>699</v>
      </c>
      <c r="D177" s="15">
        <v>2022</v>
      </c>
      <c r="E177" s="15"/>
      <c r="F177" s="15" t="s">
        <v>778</v>
      </c>
      <c r="G177" s="15" t="s">
        <v>1354</v>
      </c>
      <c r="H177" s="102" t="s">
        <v>1387</v>
      </c>
      <c r="I177" s="63" t="s">
        <v>1388</v>
      </c>
      <c r="J177" s="25" t="s">
        <v>1389</v>
      </c>
      <c r="K177" s="68" t="s">
        <v>50</v>
      </c>
      <c r="L177" s="20" t="s">
        <v>26</v>
      </c>
      <c r="M177" s="118" t="s">
        <v>781</v>
      </c>
      <c r="N177" s="111">
        <v>45107</v>
      </c>
      <c r="O177" s="111"/>
      <c r="P177" s="129" t="str">
        <f>TEXT(Table134[[#This Row],[Implementation Due Date]],"YYYY")</f>
        <v>2023</v>
      </c>
      <c r="Q177" s="130" t="str">
        <f>"Q"&amp;ROUNDUP(MONTH(Table134[[#This Row],[Implementation Due Date]])/3,0)</f>
        <v>Q2</v>
      </c>
      <c r="R177" s="98">
        <v>2023</v>
      </c>
      <c r="S177" s="95" t="s">
        <v>890</v>
      </c>
      <c r="T177" s="94"/>
      <c r="U177" s="125" t="s">
        <v>706</v>
      </c>
      <c r="V177" s="73" t="s">
        <v>707</v>
      </c>
      <c r="W177" s="15" t="s">
        <v>706</v>
      </c>
      <c r="X177" s="15"/>
      <c r="Y177" s="26" t="s">
        <v>1390</v>
      </c>
      <c r="Z177" s="26"/>
    </row>
    <row r="178" spans="1:26" ht="86.4" x14ac:dyDescent="0.3">
      <c r="A178" s="15">
        <f>ROW(A178)-3</f>
        <v>175</v>
      </c>
      <c r="B178" s="15" t="s">
        <v>699</v>
      </c>
      <c r="C178" s="15" t="s">
        <v>699</v>
      </c>
      <c r="D178" s="15">
        <v>2022</v>
      </c>
      <c r="E178" s="15"/>
      <c r="F178" s="15" t="s">
        <v>778</v>
      </c>
      <c r="G178" s="15" t="s">
        <v>1354</v>
      </c>
      <c r="H178" s="102" t="s">
        <v>1391</v>
      </c>
      <c r="I178" s="63" t="s">
        <v>1392</v>
      </c>
      <c r="J178" s="25" t="s">
        <v>1393</v>
      </c>
      <c r="K178" s="68" t="s">
        <v>50</v>
      </c>
      <c r="L178" s="20" t="s">
        <v>844</v>
      </c>
      <c r="M178" s="118" t="s">
        <v>781</v>
      </c>
      <c r="N178" s="111">
        <v>45107</v>
      </c>
      <c r="O178" s="111"/>
      <c r="P178" s="129" t="str">
        <f>TEXT(Table134[[#This Row],[Implementation Due Date]],"YYYY")</f>
        <v>2023</v>
      </c>
      <c r="Q178" s="130" t="str">
        <f>"Q"&amp;ROUNDUP(MONTH(Table134[[#This Row],[Implementation Due Date]])/3,0)</f>
        <v>Q2</v>
      </c>
      <c r="R178" s="98">
        <v>2024</v>
      </c>
      <c r="S178" s="95" t="s">
        <v>799</v>
      </c>
      <c r="T178" s="94"/>
      <c r="U178" s="125" t="s">
        <v>706</v>
      </c>
      <c r="V178" s="73" t="s">
        <v>707</v>
      </c>
      <c r="W178" s="15" t="s">
        <v>706</v>
      </c>
      <c r="X178" s="15"/>
      <c r="Y178" s="26" t="s">
        <v>1394</v>
      </c>
      <c r="Z178" s="26"/>
    </row>
    <row r="179" spans="1:26" ht="216" x14ac:dyDescent="0.3">
      <c r="A179" s="15">
        <f t="shared" ref="A179:A242" si="3">ROW(A179)-3</f>
        <v>176</v>
      </c>
      <c r="B179" s="15" t="s">
        <v>699</v>
      </c>
      <c r="C179" s="15" t="s">
        <v>699</v>
      </c>
      <c r="D179" s="15">
        <v>2022</v>
      </c>
      <c r="E179" s="15"/>
      <c r="F179" s="15" t="s">
        <v>778</v>
      </c>
      <c r="G179" s="15" t="s">
        <v>1354</v>
      </c>
      <c r="H179" s="102" t="s">
        <v>1395</v>
      </c>
      <c r="I179" s="63" t="s">
        <v>1396</v>
      </c>
      <c r="J179" s="25" t="s">
        <v>1397</v>
      </c>
      <c r="K179" s="68" t="s">
        <v>50</v>
      </c>
      <c r="L179" s="20" t="s">
        <v>55</v>
      </c>
      <c r="M179" s="118" t="s">
        <v>781</v>
      </c>
      <c r="N179" s="111">
        <v>45107</v>
      </c>
      <c r="O179" s="111"/>
      <c r="P179" s="129" t="str">
        <f>TEXT(Table134[[#This Row],[Implementation Due Date]],"YYYY")</f>
        <v>2023</v>
      </c>
      <c r="Q179" s="130" t="str">
        <f>"Q"&amp;ROUNDUP(MONTH(Table134[[#This Row],[Implementation Due Date]])/3,0)</f>
        <v>Q2</v>
      </c>
      <c r="R179" s="98">
        <v>2024</v>
      </c>
      <c r="S179" s="95" t="s">
        <v>890</v>
      </c>
      <c r="T179" s="94"/>
      <c r="U179" s="125" t="s">
        <v>706</v>
      </c>
      <c r="V179" s="73" t="s">
        <v>707</v>
      </c>
      <c r="W179" s="15" t="s">
        <v>706</v>
      </c>
      <c r="X179" s="15"/>
      <c r="Y179" s="26" t="s">
        <v>1398</v>
      </c>
      <c r="Z179" s="26"/>
    </row>
    <row r="180" spans="1:26" ht="43.2" x14ac:dyDescent="0.3">
      <c r="A180" s="15">
        <f t="shared" si="3"/>
        <v>177</v>
      </c>
      <c r="B180" s="15" t="s">
        <v>699</v>
      </c>
      <c r="C180" s="15" t="s">
        <v>699</v>
      </c>
      <c r="D180" s="15">
        <v>2022</v>
      </c>
      <c r="E180" s="15"/>
      <c r="F180" s="15" t="s">
        <v>778</v>
      </c>
      <c r="G180" s="15" t="s">
        <v>1354</v>
      </c>
      <c r="H180" s="102" t="s">
        <v>1399</v>
      </c>
      <c r="I180" s="63" t="s">
        <v>1400</v>
      </c>
      <c r="J180" s="25" t="s">
        <v>1401</v>
      </c>
      <c r="K180" s="68" t="s">
        <v>50</v>
      </c>
      <c r="L180" s="20" t="s">
        <v>55</v>
      </c>
      <c r="M180" s="118" t="s">
        <v>781</v>
      </c>
      <c r="N180" s="111">
        <v>45107</v>
      </c>
      <c r="O180" s="111"/>
      <c r="P180" s="129" t="str">
        <f>TEXT(Table134[[#This Row],[Implementation Due Date]],"YYYY")</f>
        <v>2023</v>
      </c>
      <c r="Q180" s="130" t="str">
        <f>"Q"&amp;ROUNDUP(MONTH(Table134[[#This Row],[Implementation Due Date]])/3,0)</f>
        <v>Q2</v>
      </c>
      <c r="R180" s="98">
        <v>2024</v>
      </c>
      <c r="S180" s="95" t="s">
        <v>711</v>
      </c>
      <c r="T180" s="94"/>
      <c r="U180" s="125" t="s">
        <v>706</v>
      </c>
      <c r="V180" s="73" t="s">
        <v>707</v>
      </c>
      <c r="W180" s="15" t="s">
        <v>706</v>
      </c>
      <c r="X180" s="15"/>
      <c r="Y180" s="26" t="s">
        <v>1402</v>
      </c>
      <c r="Z180" s="26"/>
    </row>
    <row r="181" spans="1:26" ht="86.4" x14ac:dyDescent="0.3">
      <c r="A181" s="15">
        <f t="shared" si="3"/>
        <v>178</v>
      </c>
      <c r="B181" s="15" t="s">
        <v>699</v>
      </c>
      <c r="C181" s="15" t="s">
        <v>699</v>
      </c>
      <c r="D181" s="15">
        <v>2022</v>
      </c>
      <c r="E181" s="15"/>
      <c r="F181" s="15" t="s">
        <v>778</v>
      </c>
      <c r="G181" s="15" t="s">
        <v>1354</v>
      </c>
      <c r="H181" s="102" t="s">
        <v>1403</v>
      </c>
      <c r="I181" s="63" t="s">
        <v>1404</v>
      </c>
      <c r="J181" s="25" t="s">
        <v>1405</v>
      </c>
      <c r="K181" s="68" t="s">
        <v>50</v>
      </c>
      <c r="L181" s="20" t="s">
        <v>26</v>
      </c>
      <c r="M181" s="118" t="s">
        <v>781</v>
      </c>
      <c r="N181" s="111">
        <v>45107</v>
      </c>
      <c r="O181" s="111"/>
      <c r="P181" s="129" t="str">
        <f>TEXT(Table134[[#This Row],[Implementation Due Date]],"YYYY")</f>
        <v>2023</v>
      </c>
      <c r="Q181" s="130" t="str">
        <f>"Q"&amp;ROUNDUP(MONTH(Table134[[#This Row],[Implementation Due Date]])/3,0)</f>
        <v>Q2</v>
      </c>
      <c r="R181" s="98">
        <v>2024</v>
      </c>
      <c r="S181" s="95" t="s">
        <v>890</v>
      </c>
      <c r="T181" s="94"/>
      <c r="U181" s="125" t="s">
        <v>706</v>
      </c>
      <c r="V181" s="73" t="s">
        <v>707</v>
      </c>
      <c r="W181" s="15" t="s">
        <v>706</v>
      </c>
      <c r="X181" s="15"/>
      <c r="Y181" s="26" t="s">
        <v>1406</v>
      </c>
      <c r="Z181" s="26"/>
    </row>
    <row r="182" spans="1:26" ht="273.60000000000002" x14ac:dyDescent="0.3">
      <c r="A182" s="15">
        <f t="shared" si="3"/>
        <v>179</v>
      </c>
      <c r="B182" s="15" t="s">
        <v>699</v>
      </c>
      <c r="C182" s="15" t="s">
        <v>699</v>
      </c>
      <c r="D182" s="15">
        <v>2022</v>
      </c>
      <c r="E182" s="15"/>
      <c r="F182" s="15" t="s">
        <v>778</v>
      </c>
      <c r="G182" s="15" t="s">
        <v>1354</v>
      </c>
      <c r="H182" s="102" t="s">
        <v>1407</v>
      </c>
      <c r="I182" s="63" t="s">
        <v>1408</v>
      </c>
      <c r="J182" s="25" t="s">
        <v>1409</v>
      </c>
      <c r="K182" s="68" t="s">
        <v>50</v>
      </c>
      <c r="L182" s="20" t="s">
        <v>844</v>
      </c>
      <c r="M182" s="118" t="s">
        <v>781</v>
      </c>
      <c r="N182" s="111">
        <v>45107</v>
      </c>
      <c r="O182" s="111"/>
      <c r="P182" s="129" t="str">
        <f>TEXT(Table134[[#This Row],[Implementation Due Date]],"YYYY")</f>
        <v>2023</v>
      </c>
      <c r="Q182" s="130" t="str">
        <f>"Q"&amp;ROUNDUP(MONTH(Table134[[#This Row],[Implementation Due Date]])/3,0)</f>
        <v>Q2</v>
      </c>
      <c r="R182" s="98">
        <v>2024</v>
      </c>
      <c r="S182" s="95" t="s">
        <v>711</v>
      </c>
      <c r="T182" s="94"/>
      <c r="U182" s="125" t="s">
        <v>706</v>
      </c>
      <c r="V182" s="73" t="s">
        <v>707</v>
      </c>
      <c r="W182" s="15" t="s">
        <v>706</v>
      </c>
      <c r="X182" s="15"/>
      <c r="Y182" s="26" t="s">
        <v>1410</v>
      </c>
      <c r="Z182" s="26"/>
    </row>
    <row r="183" spans="1:26" ht="172.8" x14ac:dyDescent="0.3">
      <c r="A183" s="15">
        <f t="shared" si="3"/>
        <v>180</v>
      </c>
      <c r="B183" s="15" t="s">
        <v>699</v>
      </c>
      <c r="C183" s="15" t="s">
        <v>699</v>
      </c>
      <c r="D183" s="15">
        <v>2022</v>
      </c>
      <c r="E183" s="15"/>
      <c r="F183" s="15" t="s">
        <v>778</v>
      </c>
      <c r="G183" s="15" t="s">
        <v>1354</v>
      </c>
      <c r="H183" s="102" t="s">
        <v>1411</v>
      </c>
      <c r="I183" s="63" t="s">
        <v>1412</v>
      </c>
      <c r="J183" s="25" t="s">
        <v>1413</v>
      </c>
      <c r="K183" s="68" t="s">
        <v>50</v>
      </c>
      <c r="L183" s="20" t="s">
        <v>26</v>
      </c>
      <c r="M183" s="118" t="s">
        <v>781</v>
      </c>
      <c r="N183" s="111">
        <v>45107</v>
      </c>
      <c r="O183" s="111"/>
      <c r="P183" s="129" t="str">
        <f>TEXT(Table134[[#This Row],[Implementation Due Date]],"YYYY")</f>
        <v>2023</v>
      </c>
      <c r="Q183" s="130" t="str">
        <f>"Q"&amp;ROUNDUP(MONTH(Table134[[#This Row],[Implementation Due Date]])/3,0)</f>
        <v>Q2</v>
      </c>
      <c r="R183" s="98">
        <v>2023</v>
      </c>
      <c r="S183" s="95" t="s">
        <v>890</v>
      </c>
      <c r="T183" s="94"/>
      <c r="U183" s="125" t="s">
        <v>706</v>
      </c>
      <c r="V183" s="73" t="s">
        <v>707</v>
      </c>
      <c r="W183" s="15" t="s">
        <v>706</v>
      </c>
      <c r="X183" s="15"/>
      <c r="Y183" s="26" t="s">
        <v>1414</v>
      </c>
      <c r="Z183" s="26"/>
    </row>
    <row r="184" spans="1:26" ht="151.80000000000001" x14ac:dyDescent="0.3">
      <c r="A184" s="15">
        <f t="shared" si="3"/>
        <v>181</v>
      </c>
      <c r="B184" s="15" t="s">
        <v>699</v>
      </c>
      <c r="C184" s="15" t="s">
        <v>699</v>
      </c>
      <c r="D184" s="15">
        <v>2022</v>
      </c>
      <c r="E184" s="15"/>
      <c r="F184" s="15" t="s">
        <v>778</v>
      </c>
      <c r="G184" s="15" t="s">
        <v>1354</v>
      </c>
      <c r="H184" s="102" t="s">
        <v>1415</v>
      </c>
      <c r="I184" s="62" t="s">
        <v>1416</v>
      </c>
      <c r="J184" s="25" t="s">
        <v>1417</v>
      </c>
      <c r="K184" s="68" t="s">
        <v>79</v>
      </c>
      <c r="L184" s="20" t="s">
        <v>26</v>
      </c>
      <c r="M184" s="118" t="s">
        <v>781</v>
      </c>
      <c r="N184" s="111">
        <v>45107</v>
      </c>
      <c r="O184" s="111"/>
      <c r="P184" s="129" t="str">
        <f>TEXT(Table134[[#This Row],[Implementation Due Date]],"YYYY")</f>
        <v>2023</v>
      </c>
      <c r="Q184" s="130" t="str">
        <f>"Q"&amp;ROUNDUP(MONTH(Table134[[#This Row],[Implementation Due Date]])/3,0)</f>
        <v>Q2</v>
      </c>
      <c r="R184" s="98">
        <v>2024</v>
      </c>
      <c r="S184" s="95" t="s">
        <v>890</v>
      </c>
      <c r="T184" s="94"/>
      <c r="U184" s="125" t="s">
        <v>706</v>
      </c>
      <c r="V184" s="73" t="s">
        <v>707</v>
      </c>
      <c r="W184" s="15" t="s">
        <v>706</v>
      </c>
      <c r="X184" s="15"/>
      <c r="Y184" s="26" t="s">
        <v>1418</v>
      </c>
      <c r="Z184" s="26"/>
    </row>
    <row r="185" spans="1:26" ht="69" x14ac:dyDescent="0.3">
      <c r="A185" s="15">
        <f t="shared" si="3"/>
        <v>182</v>
      </c>
      <c r="B185" s="15" t="s">
        <v>699</v>
      </c>
      <c r="C185" s="15" t="s">
        <v>699</v>
      </c>
      <c r="D185" s="15">
        <v>2022</v>
      </c>
      <c r="E185" s="15"/>
      <c r="F185" s="15" t="s">
        <v>778</v>
      </c>
      <c r="G185" s="15" t="s">
        <v>1354</v>
      </c>
      <c r="H185" s="102" t="s">
        <v>1419</v>
      </c>
      <c r="I185" s="63" t="s">
        <v>1420</v>
      </c>
      <c r="J185" s="25" t="s">
        <v>1421</v>
      </c>
      <c r="K185" s="68" t="s">
        <v>79</v>
      </c>
      <c r="L185" s="20" t="s">
        <v>26</v>
      </c>
      <c r="M185" s="118" t="s">
        <v>781</v>
      </c>
      <c r="N185" s="111">
        <v>45107</v>
      </c>
      <c r="O185" s="111"/>
      <c r="P185" s="129" t="str">
        <f>TEXT(Table134[[#This Row],[Implementation Due Date]],"YYYY")</f>
        <v>2023</v>
      </c>
      <c r="Q185" s="130" t="str">
        <f>"Q"&amp;ROUNDUP(MONTH(Table134[[#This Row],[Implementation Due Date]])/3,0)</f>
        <v>Q2</v>
      </c>
      <c r="R185" s="98">
        <v>2024</v>
      </c>
      <c r="S185" s="95" t="s">
        <v>711</v>
      </c>
      <c r="T185" s="94"/>
      <c r="U185" s="125" t="s">
        <v>706</v>
      </c>
      <c r="V185" s="73" t="s">
        <v>707</v>
      </c>
      <c r="W185" s="15" t="s">
        <v>706</v>
      </c>
      <c r="X185" s="15"/>
      <c r="Y185" s="26" t="s">
        <v>1422</v>
      </c>
      <c r="Z185" s="26"/>
    </row>
    <row r="186" spans="1:26" ht="138" x14ac:dyDescent="0.3">
      <c r="A186" s="15">
        <f t="shared" si="3"/>
        <v>183</v>
      </c>
      <c r="B186" s="15" t="s">
        <v>699</v>
      </c>
      <c r="C186" s="15" t="s">
        <v>699</v>
      </c>
      <c r="D186" s="15">
        <v>2022</v>
      </c>
      <c r="E186" s="15"/>
      <c r="F186" s="15" t="s">
        <v>778</v>
      </c>
      <c r="G186" s="15" t="s">
        <v>1354</v>
      </c>
      <c r="H186" s="102" t="s">
        <v>1423</v>
      </c>
      <c r="I186" s="63" t="s">
        <v>1424</v>
      </c>
      <c r="J186" s="25" t="s">
        <v>1425</v>
      </c>
      <c r="K186" s="68" t="s">
        <v>79</v>
      </c>
      <c r="L186" s="20" t="s">
        <v>26</v>
      </c>
      <c r="M186" s="118" t="s">
        <v>781</v>
      </c>
      <c r="N186" s="111">
        <v>45107</v>
      </c>
      <c r="O186" s="111"/>
      <c r="P186" s="129" t="str">
        <f>TEXT(Table134[[#This Row],[Implementation Due Date]],"YYYY")</f>
        <v>2023</v>
      </c>
      <c r="Q186" s="130" t="str">
        <f>"Q"&amp;ROUNDUP(MONTH(Table134[[#This Row],[Implementation Due Date]])/3,0)</f>
        <v>Q2</v>
      </c>
      <c r="R186" s="98">
        <v>2023</v>
      </c>
      <c r="S186" s="95" t="s">
        <v>890</v>
      </c>
      <c r="T186" s="94"/>
      <c r="U186" s="125" t="s">
        <v>706</v>
      </c>
      <c r="V186" s="73" t="s">
        <v>707</v>
      </c>
      <c r="W186" s="15" t="s">
        <v>706</v>
      </c>
      <c r="X186" s="15"/>
      <c r="Y186" s="26" t="s">
        <v>1426</v>
      </c>
      <c r="Z186" s="26"/>
    </row>
    <row r="187" spans="1:26" ht="69" x14ac:dyDescent="0.3">
      <c r="A187" s="15">
        <f t="shared" si="3"/>
        <v>184</v>
      </c>
      <c r="B187" s="15" t="s">
        <v>699</v>
      </c>
      <c r="C187" s="15" t="s">
        <v>699</v>
      </c>
      <c r="D187" s="15">
        <v>2022</v>
      </c>
      <c r="E187" s="15"/>
      <c r="F187" s="15" t="s">
        <v>778</v>
      </c>
      <c r="G187" s="15" t="s">
        <v>1354</v>
      </c>
      <c r="H187" s="102" t="s">
        <v>1427</v>
      </c>
      <c r="I187" s="63" t="s">
        <v>1428</v>
      </c>
      <c r="J187" s="25" t="s">
        <v>1429</v>
      </c>
      <c r="K187" s="68" t="s">
        <v>79</v>
      </c>
      <c r="L187" s="20" t="s">
        <v>55</v>
      </c>
      <c r="M187" s="118" t="s">
        <v>781</v>
      </c>
      <c r="N187" s="111">
        <v>45107</v>
      </c>
      <c r="O187" s="111"/>
      <c r="P187" s="129" t="str">
        <f>TEXT(Table134[[#This Row],[Implementation Due Date]],"YYYY")</f>
        <v>2023</v>
      </c>
      <c r="Q187" s="130" t="str">
        <f>"Q"&amp;ROUNDUP(MONTH(Table134[[#This Row],[Implementation Due Date]])/3,0)</f>
        <v>Q2</v>
      </c>
      <c r="R187" s="98">
        <v>2023</v>
      </c>
      <c r="S187" s="95" t="s">
        <v>890</v>
      </c>
      <c r="T187" s="94"/>
      <c r="U187" s="125" t="s">
        <v>706</v>
      </c>
      <c r="V187" s="73" t="s">
        <v>707</v>
      </c>
      <c r="W187" s="15" t="s">
        <v>706</v>
      </c>
      <c r="X187" s="15"/>
      <c r="Y187" s="26" t="s">
        <v>1430</v>
      </c>
      <c r="Z187" s="26"/>
    </row>
    <row r="188" spans="1:26" ht="172.8" x14ac:dyDescent="0.3">
      <c r="A188" s="15">
        <f t="shared" si="3"/>
        <v>185</v>
      </c>
      <c r="B188" s="15" t="s">
        <v>699</v>
      </c>
      <c r="C188" s="15" t="s">
        <v>699</v>
      </c>
      <c r="D188" s="15">
        <v>2022</v>
      </c>
      <c r="E188" s="15"/>
      <c r="F188" s="15" t="s">
        <v>778</v>
      </c>
      <c r="G188" s="15" t="s">
        <v>1354</v>
      </c>
      <c r="H188" s="102" t="s">
        <v>1431</v>
      </c>
      <c r="I188" s="63" t="s">
        <v>1432</v>
      </c>
      <c r="J188" s="25" t="s">
        <v>1433</v>
      </c>
      <c r="K188" s="68" t="s">
        <v>79</v>
      </c>
      <c r="L188" s="20" t="s">
        <v>55</v>
      </c>
      <c r="M188" s="118" t="s">
        <v>781</v>
      </c>
      <c r="N188" s="111">
        <v>45107</v>
      </c>
      <c r="O188" s="111"/>
      <c r="P188" s="129" t="str">
        <f>TEXT(Table134[[#This Row],[Implementation Due Date]],"YYYY")</f>
        <v>2023</v>
      </c>
      <c r="Q188" s="130" t="str">
        <f>"Q"&amp;ROUNDUP(MONTH(Table134[[#This Row],[Implementation Due Date]])/3,0)</f>
        <v>Q2</v>
      </c>
      <c r="R188" s="98">
        <v>2023</v>
      </c>
      <c r="S188" s="95" t="s">
        <v>890</v>
      </c>
      <c r="T188" s="94"/>
      <c r="U188" s="125" t="s">
        <v>706</v>
      </c>
      <c r="V188" s="73" t="s">
        <v>707</v>
      </c>
      <c r="W188" s="15" t="s">
        <v>706</v>
      </c>
      <c r="X188" s="15"/>
      <c r="Y188" s="26" t="s">
        <v>1434</v>
      </c>
      <c r="Z188" s="26"/>
    </row>
    <row r="189" spans="1:26" ht="100.8" x14ac:dyDescent="0.3">
      <c r="A189" s="15">
        <f t="shared" si="3"/>
        <v>186</v>
      </c>
      <c r="B189" s="15" t="s">
        <v>699</v>
      </c>
      <c r="C189" s="15" t="s">
        <v>699</v>
      </c>
      <c r="D189" s="15">
        <v>2022</v>
      </c>
      <c r="E189" s="15"/>
      <c r="F189" s="15" t="s">
        <v>778</v>
      </c>
      <c r="G189" s="15" t="s">
        <v>1354</v>
      </c>
      <c r="H189" s="102" t="s">
        <v>1435</v>
      </c>
      <c r="I189" s="63" t="s">
        <v>1436</v>
      </c>
      <c r="J189" s="25" t="s">
        <v>1437</v>
      </c>
      <c r="K189" s="68" t="s">
        <v>388</v>
      </c>
      <c r="L189" s="20" t="s">
        <v>26</v>
      </c>
      <c r="M189" s="118" t="s">
        <v>781</v>
      </c>
      <c r="N189" s="111">
        <v>45107</v>
      </c>
      <c r="O189" s="111"/>
      <c r="P189" s="129" t="str">
        <f>TEXT(Table134[[#This Row],[Implementation Due Date]],"YYYY")</f>
        <v>2023</v>
      </c>
      <c r="Q189" s="130" t="str">
        <f>"Q"&amp;ROUNDUP(MONTH(Table134[[#This Row],[Implementation Due Date]])/3,0)</f>
        <v>Q2</v>
      </c>
      <c r="R189" s="98">
        <v>2023</v>
      </c>
      <c r="S189" s="95" t="s">
        <v>890</v>
      </c>
      <c r="T189" s="94"/>
      <c r="U189" s="125" t="s">
        <v>706</v>
      </c>
      <c r="V189" s="73" t="s">
        <v>707</v>
      </c>
      <c r="W189" s="15" t="s">
        <v>706</v>
      </c>
      <c r="X189" s="15"/>
      <c r="Y189" s="26" t="s">
        <v>1438</v>
      </c>
      <c r="Z189" s="26"/>
    </row>
    <row r="190" spans="1:26" ht="158.4" x14ac:dyDescent="0.3">
      <c r="A190" s="15">
        <f t="shared" si="3"/>
        <v>187</v>
      </c>
      <c r="B190" s="15" t="s">
        <v>699</v>
      </c>
      <c r="C190" s="15" t="s">
        <v>699</v>
      </c>
      <c r="D190" s="15">
        <v>2022</v>
      </c>
      <c r="E190" s="15"/>
      <c r="F190" s="15" t="s">
        <v>1439</v>
      </c>
      <c r="G190" s="15" t="s">
        <v>1354</v>
      </c>
      <c r="H190" s="102" t="s">
        <v>1440</v>
      </c>
      <c r="I190" s="63" t="s">
        <v>1441</v>
      </c>
      <c r="J190" s="25" t="s">
        <v>1357</v>
      </c>
      <c r="K190" s="68" t="s">
        <v>50</v>
      </c>
      <c r="L190" s="20" t="s">
        <v>26</v>
      </c>
      <c r="M190" s="118" t="s">
        <v>1442</v>
      </c>
      <c r="N190" s="111">
        <v>45107</v>
      </c>
      <c r="O190" s="111"/>
      <c r="P190" s="129" t="str">
        <f>TEXT(Table134[[#This Row],[Implementation Due Date]],"YYYY")</f>
        <v>2023</v>
      </c>
      <c r="Q190" s="130" t="str">
        <f>"Q"&amp;ROUNDUP(MONTH(Table134[[#This Row],[Implementation Due Date]])/3,0)</f>
        <v>Q2</v>
      </c>
      <c r="R190" s="98">
        <v>2023</v>
      </c>
      <c r="S190" s="95" t="s">
        <v>705</v>
      </c>
      <c r="T190" s="94"/>
      <c r="U190" s="125" t="s">
        <v>706</v>
      </c>
      <c r="V190" s="73" t="s">
        <v>707</v>
      </c>
      <c r="W190" s="15" t="s">
        <v>706</v>
      </c>
      <c r="X190" s="15"/>
      <c r="Y190" s="26" t="s">
        <v>1443</v>
      </c>
      <c r="Z190" s="26"/>
    </row>
    <row r="191" spans="1:26" ht="86.4" x14ac:dyDescent="0.3">
      <c r="A191" s="15">
        <f t="shared" si="3"/>
        <v>188</v>
      </c>
      <c r="B191" s="15" t="s">
        <v>699</v>
      </c>
      <c r="C191" s="15" t="s">
        <v>699</v>
      </c>
      <c r="D191" s="15">
        <v>2022</v>
      </c>
      <c r="E191" s="15"/>
      <c r="F191" s="15" t="s">
        <v>1439</v>
      </c>
      <c r="G191" s="15" t="s">
        <v>1354</v>
      </c>
      <c r="H191" s="102" t="s">
        <v>1444</v>
      </c>
      <c r="I191" s="63" t="s">
        <v>1445</v>
      </c>
      <c r="J191" s="25" t="s">
        <v>1446</v>
      </c>
      <c r="K191" s="68" t="s">
        <v>50</v>
      </c>
      <c r="L191" s="20" t="s">
        <v>814</v>
      </c>
      <c r="M191" s="118" t="s">
        <v>1442</v>
      </c>
      <c r="N191" s="111">
        <v>45107</v>
      </c>
      <c r="O191" s="111"/>
      <c r="P191" s="129" t="str">
        <f>TEXT(Table134[[#This Row],[Implementation Due Date]],"YYYY")</f>
        <v>2023</v>
      </c>
      <c r="Q191" s="130" t="str">
        <f>"Q"&amp;ROUNDUP(MONTH(Table134[[#This Row],[Implementation Due Date]])/3,0)</f>
        <v>Q2</v>
      </c>
      <c r="R191" s="98"/>
      <c r="S191" s="95"/>
      <c r="T191" s="94">
        <v>45657</v>
      </c>
      <c r="U191" s="127" t="s">
        <v>845</v>
      </c>
      <c r="V191" s="73">
        <f>$U$2-Table134[[#This Row],[Implementation Due Date]]</f>
        <v>1096</v>
      </c>
      <c r="W191" s="15" t="s">
        <v>846</v>
      </c>
      <c r="X191" s="15"/>
      <c r="Y191" s="26" t="s">
        <v>1447</v>
      </c>
      <c r="Z191" s="26"/>
    </row>
    <row r="192" spans="1:26" ht="86.4" x14ac:dyDescent="0.3">
      <c r="A192" s="15">
        <f t="shared" si="3"/>
        <v>189</v>
      </c>
      <c r="B192" s="15" t="s">
        <v>699</v>
      </c>
      <c r="C192" s="15" t="s">
        <v>699</v>
      </c>
      <c r="D192" s="15">
        <v>2022</v>
      </c>
      <c r="E192" s="15"/>
      <c r="F192" s="15" t="s">
        <v>1439</v>
      </c>
      <c r="G192" s="15" t="s">
        <v>1354</v>
      </c>
      <c r="H192" s="102" t="s">
        <v>1448</v>
      </c>
      <c r="I192" s="63" t="s">
        <v>1449</v>
      </c>
      <c r="J192" s="25" t="s">
        <v>1409</v>
      </c>
      <c r="K192" s="68" t="s">
        <v>50</v>
      </c>
      <c r="L192" s="20" t="s">
        <v>844</v>
      </c>
      <c r="M192" s="118" t="s">
        <v>1442</v>
      </c>
      <c r="N192" s="111">
        <v>45291</v>
      </c>
      <c r="O192" s="111"/>
      <c r="P192" s="129" t="str">
        <f>TEXT(Table134[[#This Row],[Implementation Due Date]],"YYYY")</f>
        <v>2023</v>
      </c>
      <c r="Q192" s="130" t="str">
        <f>"Q"&amp;ROUNDUP(MONTH(Table134[[#This Row],[Implementation Due Date]])/3,0)</f>
        <v>Q4</v>
      </c>
      <c r="R192" s="98"/>
      <c r="S192" s="95"/>
      <c r="T192" s="94">
        <v>45657</v>
      </c>
      <c r="U192" s="127" t="s">
        <v>845</v>
      </c>
      <c r="V192" s="73">
        <f>$U$2-Table134[[#This Row],[Implementation Due Date]]</f>
        <v>912</v>
      </c>
      <c r="W192" s="15" t="s">
        <v>846</v>
      </c>
      <c r="X192" s="15"/>
      <c r="Y192" s="26" t="s">
        <v>1450</v>
      </c>
      <c r="Z192" s="26"/>
    </row>
    <row r="193" spans="1:26" ht="187.2" x14ac:dyDescent="0.3">
      <c r="A193" s="15">
        <f t="shared" si="3"/>
        <v>190</v>
      </c>
      <c r="B193" s="15" t="s">
        <v>699</v>
      </c>
      <c r="C193" s="15" t="s">
        <v>699</v>
      </c>
      <c r="D193" s="15">
        <v>2022</v>
      </c>
      <c r="E193" s="15"/>
      <c r="F193" s="15" t="s">
        <v>1439</v>
      </c>
      <c r="G193" s="15" t="s">
        <v>1354</v>
      </c>
      <c r="H193" s="102" t="s">
        <v>1451</v>
      </c>
      <c r="I193" s="63" t="s">
        <v>1452</v>
      </c>
      <c r="J193" s="25" t="s">
        <v>1453</v>
      </c>
      <c r="K193" s="68" t="s">
        <v>50</v>
      </c>
      <c r="L193" s="20" t="s">
        <v>55</v>
      </c>
      <c r="M193" s="118" t="s">
        <v>1442</v>
      </c>
      <c r="N193" s="111">
        <v>45291</v>
      </c>
      <c r="O193" s="111"/>
      <c r="P193" s="129" t="str">
        <f>TEXT(Table134[[#This Row],[Implementation Due Date]],"YYYY")</f>
        <v>2023</v>
      </c>
      <c r="Q193" s="130" t="str">
        <f>"Q"&amp;ROUNDUP(MONTH(Table134[[#This Row],[Implementation Due Date]])/3,0)</f>
        <v>Q4</v>
      </c>
      <c r="R193" s="98"/>
      <c r="S193" s="95"/>
      <c r="T193" s="94">
        <v>45657</v>
      </c>
      <c r="U193" s="127" t="s">
        <v>845</v>
      </c>
      <c r="V193" s="73">
        <f>$U$2-Table134[[#This Row],[Implementation Due Date]]</f>
        <v>912</v>
      </c>
      <c r="W193" s="15" t="s">
        <v>846</v>
      </c>
      <c r="X193" s="15"/>
      <c r="Y193" s="26" t="s">
        <v>1454</v>
      </c>
      <c r="Z193" s="26"/>
    </row>
    <row r="194" spans="1:26" ht="388.8" x14ac:dyDescent="0.3">
      <c r="A194" s="15">
        <f t="shared" si="3"/>
        <v>191</v>
      </c>
      <c r="B194" s="15" t="s">
        <v>699</v>
      </c>
      <c r="C194" s="15" t="s">
        <v>699</v>
      </c>
      <c r="D194" s="15">
        <v>2022</v>
      </c>
      <c r="E194" s="15"/>
      <c r="F194" s="15" t="s">
        <v>277</v>
      </c>
      <c r="G194" s="15" t="s">
        <v>1354</v>
      </c>
      <c r="H194" s="102" t="s">
        <v>1455</v>
      </c>
      <c r="I194" s="63" t="s">
        <v>1456</v>
      </c>
      <c r="J194" s="25" t="s">
        <v>1457</v>
      </c>
      <c r="K194" s="68" t="s">
        <v>50</v>
      </c>
      <c r="L194" s="20" t="s">
        <v>26</v>
      </c>
      <c r="M194" s="118" t="s">
        <v>1458</v>
      </c>
      <c r="N194" s="111">
        <v>45077</v>
      </c>
      <c r="O194" s="111"/>
      <c r="P194" s="129" t="str">
        <f>TEXT(Table134[[#This Row],[Implementation Due Date]],"YYYY")</f>
        <v>2023</v>
      </c>
      <c r="Q194" s="130" t="str">
        <f>"Q"&amp;ROUNDUP(MONTH(Table134[[#This Row],[Implementation Due Date]])/3,0)</f>
        <v>Q2</v>
      </c>
      <c r="R194" s="98">
        <v>2025</v>
      </c>
      <c r="S194" s="95" t="s">
        <v>890</v>
      </c>
      <c r="T194" s="94"/>
      <c r="U194" s="126" t="s">
        <v>706</v>
      </c>
      <c r="V194" s="73" t="s">
        <v>707</v>
      </c>
      <c r="W194" s="15" t="s">
        <v>706</v>
      </c>
      <c r="X194" s="15"/>
      <c r="Y194" s="26" t="s">
        <v>1459</v>
      </c>
      <c r="Z194" s="26"/>
    </row>
    <row r="195" spans="1:26" ht="100.8" x14ac:dyDescent="0.3">
      <c r="A195" s="15">
        <f t="shared" si="3"/>
        <v>192</v>
      </c>
      <c r="B195" s="15" t="s">
        <v>699</v>
      </c>
      <c r="C195" s="15" t="s">
        <v>699</v>
      </c>
      <c r="D195" s="15">
        <v>2022</v>
      </c>
      <c r="E195" s="15"/>
      <c r="F195" s="15" t="s">
        <v>277</v>
      </c>
      <c r="G195" s="15" t="s">
        <v>1354</v>
      </c>
      <c r="H195" s="102" t="s">
        <v>1460</v>
      </c>
      <c r="I195" s="63" t="s">
        <v>1461</v>
      </c>
      <c r="J195" s="25" t="s">
        <v>1462</v>
      </c>
      <c r="K195" s="68" t="s">
        <v>50</v>
      </c>
      <c r="L195" s="20" t="s">
        <v>814</v>
      </c>
      <c r="M195" s="118" t="s">
        <v>1458</v>
      </c>
      <c r="N195" s="111">
        <v>45076</v>
      </c>
      <c r="O195" s="111"/>
      <c r="P195" s="129" t="str">
        <f>TEXT(Table134[[#This Row],[Implementation Due Date]],"YYYY")</f>
        <v>2023</v>
      </c>
      <c r="Q195" s="130" t="str">
        <f>"Q"&amp;ROUNDUP(MONTH(Table134[[#This Row],[Implementation Due Date]])/3,0)</f>
        <v>Q2</v>
      </c>
      <c r="R195" s="98"/>
      <c r="S195" s="95"/>
      <c r="T195" s="94">
        <v>45657</v>
      </c>
      <c r="U195" s="127" t="s">
        <v>845</v>
      </c>
      <c r="V195" s="73">
        <f>$U$2-Table134[[#This Row],[Implementation Due Date]]</f>
        <v>1127</v>
      </c>
      <c r="W195" s="15" t="s">
        <v>846</v>
      </c>
      <c r="X195" s="15"/>
      <c r="Y195" s="26" t="s">
        <v>1463</v>
      </c>
      <c r="Z195" s="26"/>
    </row>
    <row r="196" spans="1:26" ht="216" x14ac:dyDescent="0.3">
      <c r="A196" s="15">
        <f t="shared" si="3"/>
        <v>193</v>
      </c>
      <c r="B196" s="15" t="s">
        <v>699</v>
      </c>
      <c r="C196" s="15" t="s">
        <v>699</v>
      </c>
      <c r="D196" s="15">
        <v>2022</v>
      </c>
      <c r="E196" s="15"/>
      <c r="F196" s="15" t="s">
        <v>277</v>
      </c>
      <c r="G196" s="15" t="s">
        <v>1354</v>
      </c>
      <c r="H196" s="102" t="s">
        <v>1464</v>
      </c>
      <c r="I196" s="63" t="s">
        <v>1465</v>
      </c>
      <c r="J196" s="25" t="s">
        <v>1466</v>
      </c>
      <c r="K196" s="68" t="s">
        <v>50</v>
      </c>
      <c r="L196" s="20" t="s">
        <v>55</v>
      </c>
      <c r="M196" s="118" t="s">
        <v>1458</v>
      </c>
      <c r="N196" s="111">
        <v>45076</v>
      </c>
      <c r="O196" s="111"/>
      <c r="P196" s="129" t="str">
        <f>TEXT(Table134[[#This Row],[Implementation Due Date]],"YYYY")</f>
        <v>2023</v>
      </c>
      <c r="Q196" s="130" t="str">
        <f>"Q"&amp;ROUNDUP(MONTH(Table134[[#This Row],[Implementation Due Date]])/3,0)</f>
        <v>Q2</v>
      </c>
      <c r="R196" s="98"/>
      <c r="S196" s="95"/>
      <c r="T196" s="94">
        <v>45657</v>
      </c>
      <c r="U196" s="127" t="s">
        <v>845</v>
      </c>
      <c r="V196" s="73">
        <f>$U$2-Table134[[#This Row],[Implementation Due Date]]</f>
        <v>1127</v>
      </c>
      <c r="W196" s="15" t="s">
        <v>846</v>
      </c>
      <c r="X196" s="15"/>
      <c r="Y196" s="26" t="s">
        <v>1467</v>
      </c>
      <c r="Z196" s="26"/>
    </row>
    <row r="197" spans="1:26" ht="57.6" x14ac:dyDescent="0.3">
      <c r="A197" s="15">
        <f t="shared" si="3"/>
        <v>194</v>
      </c>
      <c r="B197" s="15" t="s">
        <v>699</v>
      </c>
      <c r="C197" s="15" t="s">
        <v>699</v>
      </c>
      <c r="D197" s="15">
        <v>2022</v>
      </c>
      <c r="E197" s="15"/>
      <c r="F197" s="15" t="s">
        <v>277</v>
      </c>
      <c r="G197" s="15" t="s">
        <v>1354</v>
      </c>
      <c r="H197" s="102" t="s">
        <v>1468</v>
      </c>
      <c r="I197" s="63" t="s">
        <v>286</v>
      </c>
      <c r="J197" s="25" t="s">
        <v>1469</v>
      </c>
      <c r="K197" s="68" t="s">
        <v>50</v>
      </c>
      <c r="L197" s="20" t="s">
        <v>55</v>
      </c>
      <c r="M197" s="118" t="s">
        <v>1458</v>
      </c>
      <c r="N197" s="111">
        <v>45076</v>
      </c>
      <c r="O197" s="111"/>
      <c r="P197" s="129" t="str">
        <f>TEXT(Table134[[#This Row],[Implementation Due Date]],"YYYY")</f>
        <v>2023</v>
      </c>
      <c r="Q197" s="130" t="str">
        <f>"Q"&amp;ROUNDUP(MONTH(Table134[[#This Row],[Implementation Due Date]])/3,0)</f>
        <v>Q2</v>
      </c>
      <c r="R197" s="98"/>
      <c r="S197" s="95"/>
      <c r="T197" s="94">
        <v>45657</v>
      </c>
      <c r="U197" s="127" t="s">
        <v>845</v>
      </c>
      <c r="V197" s="73">
        <f>$U$2-Table134[[#This Row],[Implementation Due Date]]</f>
        <v>1127</v>
      </c>
      <c r="W197" s="15" t="s">
        <v>846</v>
      </c>
      <c r="X197" s="15"/>
      <c r="Y197" s="26" t="s">
        <v>1470</v>
      </c>
      <c r="Z197" s="26"/>
    </row>
    <row r="198" spans="1:26" ht="86.4" x14ac:dyDescent="0.3">
      <c r="A198" s="15">
        <f t="shared" si="3"/>
        <v>195</v>
      </c>
      <c r="B198" s="15" t="s">
        <v>699</v>
      </c>
      <c r="C198" s="15" t="s">
        <v>699</v>
      </c>
      <c r="D198" s="15">
        <v>2022</v>
      </c>
      <c r="E198" s="15"/>
      <c r="F198" s="15" t="s">
        <v>277</v>
      </c>
      <c r="G198" s="15" t="s">
        <v>1354</v>
      </c>
      <c r="H198" s="102" t="s">
        <v>1471</v>
      </c>
      <c r="I198" s="63" t="s">
        <v>1472</v>
      </c>
      <c r="J198" s="25" t="s">
        <v>1473</v>
      </c>
      <c r="K198" s="67" t="s">
        <v>50</v>
      </c>
      <c r="L198" s="20" t="s">
        <v>55</v>
      </c>
      <c r="M198" s="118" t="s">
        <v>1458</v>
      </c>
      <c r="N198" s="111">
        <v>45076</v>
      </c>
      <c r="O198" s="111"/>
      <c r="P198" s="129" t="str">
        <f>TEXT(Table134[[#This Row],[Implementation Due Date]],"YYYY")</f>
        <v>2023</v>
      </c>
      <c r="Q198" s="130" t="str">
        <f>"Q"&amp;ROUNDUP(MONTH(Table134[[#This Row],[Implementation Due Date]])/3,0)</f>
        <v>Q2</v>
      </c>
      <c r="R198" s="98"/>
      <c r="S198" s="95"/>
      <c r="T198" s="94">
        <v>45657</v>
      </c>
      <c r="U198" s="127" t="s">
        <v>845</v>
      </c>
      <c r="V198" s="73">
        <f>$U$2-Table134[[#This Row],[Implementation Due Date]]</f>
        <v>1127</v>
      </c>
      <c r="W198" s="15" t="s">
        <v>846</v>
      </c>
      <c r="X198" s="15"/>
      <c r="Y198" s="26" t="s">
        <v>1474</v>
      </c>
      <c r="Z198" s="26"/>
    </row>
    <row r="199" spans="1:26" ht="57.6" x14ac:dyDescent="0.3">
      <c r="A199" s="15">
        <f t="shared" si="3"/>
        <v>196</v>
      </c>
      <c r="B199" s="15" t="s">
        <v>699</v>
      </c>
      <c r="C199" s="15" t="s">
        <v>699</v>
      </c>
      <c r="D199" s="15">
        <v>2022</v>
      </c>
      <c r="E199" s="15"/>
      <c r="F199" s="15" t="s">
        <v>277</v>
      </c>
      <c r="G199" s="15" t="s">
        <v>1354</v>
      </c>
      <c r="H199" s="102" t="s">
        <v>1475</v>
      </c>
      <c r="I199" s="63" t="s">
        <v>1476</v>
      </c>
      <c r="J199" s="25" t="s">
        <v>1477</v>
      </c>
      <c r="K199" s="68" t="s">
        <v>50</v>
      </c>
      <c r="L199" s="20" t="s">
        <v>55</v>
      </c>
      <c r="M199" s="118" t="s">
        <v>1458</v>
      </c>
      <c r="N199" s="111">
        <v>45076</v>
      </c>
      <c r="O199" s="111"/>
      <c r="P199" s="129" t="str">
        <f>TEXT(Table134[[#This Row],[Implementation Due Date]],"YYYY")</f>
        <v>2023</v>
      </c>
      <c r="Q199" s="130" t="str">
        <f>"Q"&amp;ROUNDUP(MONTH(Table134[[#This Row],[Implementation Due Date]])/3,0)</f>
        <v>Q2</v>
      </c>
      <c r="R199" s="98"/>
      <c r="S199" s="95"/>
      <c r="T199" s="94">
        <v>45657</v>
      </c>
      <c r="U199" s="127" t="s">
        <v>845</v>
      </c>
      <c r="V199" s="73">
        <f>$U$2-Table134[[#This Row],[Implementation Due Date]]</f>
        <v>1127</v>
      </c>
      <c r="W199" s="15" t="s">
        <v>846</v>
      </c>
      <c r="X199" s="15"/>
      <c r="Y199" s="26" t="s">
        <v>1478</v>
      </c>
      <c r="Z199" s="26"/>
    </row>
    <row r="200" spans="1:26" ht="144" x14ac:dyDescent="0.3">
      <c r="A200" s="15">
        <f t="shared" si="3"/>
        <v>197</v>
      </c>
      <c r="B200" s="15" t="s">
        <v>699</v>
      </c>
      <c r="C200" s="15" t="s">
        <v>699</v>
      </c>
      <c r="D200" s="15">
        <v>2022</v>
      </c>
      <c r="E200" s="15"/>
      <c r="F200" s="15" t="s">
        <v>277</v>
      </c>
      <c r="G200" s="15" t="s">
        <v>1354</v>
      </c>
      <c r="H200" s="102" t="s">
        <v>288</v>
      </c>
      <c r="I200" s="63" t="s">
        <v>289</v>
      </c>
      <c r="J200" s="25" t="s">
        <v>1479</v>
      </c>
      <c r="K200" s="68" t="s">
        <v>79</v>
      </c>
      <c r="L200" s="20" t="s">
        <v>26</v>
      </c>
      <c r="M200" s="118" t="s">
        <v>1458</v>
      </c>
      <c r="N200" s="111">
        <v>45076</v>
      </c>
      <c r="O200" s="111"/>
      <c r="P200" s="129" t="str">
        <f>TEXT(Table134[[#This Row],[Implementation Due Date]],"YYYY")</f>
        <v>2023</v>
      </c>
      <c r="Q200" s="130" t="str">
        <f>"Q"&amp;ROUNDUP(MONTH(Table134[[#This Row],[Implementation Due Date]])/3,0)</f>
        <v>Q2</v>
      </c>
      <c r="R200" s="98"/>
      <c r="S200" s="95"/>
      <c r="T200" s="94">
        <v>45657</v>
      </c>
      <c r="U200" s="127" t="s">
        <v>845</v>
      </c>
      <c r="V200" s="73">
        <f>$U$2-Table134[[#This Row],[Implementation Due Date]]</f>
        <v>1127</v>
      </c>
      <c r="W200" s="15" t="s">
        <v>846</v>
      </c>
      <c r="X200" s="15"/>
      <c r="Y200" s="26" t="s">
        <v>1480</v>
      </c>
      <c r="Z200" s="26"/>
    </row>
    <row r="201" spans="1:26" ht="345.6" x14ac:dyDescent="0.3">
      <c r="A201" s="15">
        <f t="shared" si="3"/>
        <v>198</v>
      </c>
      <c r="B201" s="15" t="s">
        <v>699</v>
      </c>
      <c r="C201" s="15" t="s">
        <v>699</v>
      </c>
      <c r="D201" s="15">
        <v>2023</v>
      </c>
      <c r="E201" s="15"/>
      <c r="F201" s="15" t="s">
        <v>406</v>
      </c>
      <c r="G201" s="16" t="s">
        <v>875</v>
      </c>
      <c r="H201" s="105" t="s">
        <v>1481</v>
      </c>
      <c r="I201" s="63" t="s">
        <v>1482</v>
      </c>
      <c r="J201" s="25" t="s">
        <v>1483</v>
      </c>
      <c r="K201" s="68" t="s">
        <v>50</v>
      </c>
      <c r="L201" s="20" t="s">
        <v>814</v>
      </c>
      <c r="M201" s="118" t="s">
        <v>1484</v>
      </c>
      <c r="N201" s="111">
        <v>45382</v>
      </c>
      <c r="O201" s="111"/>
      <c r="P201" s="129" t="str">
        <f>TEXT(Table134[[#This Row],[Implementation Due Date]],"YYYY")</f>
        <v>2024</v>
      </c>
      <c r="Q201" s="130" t="str">
        <f>"Q"&amp;ROUNDUP(MONTH(Table134[[#This Row],[Implementation Due Date]])/3,0)</f>
        <v>Q1</v>
      </c>
      <c r="R201" s="98"/>
      <c r="S201" s="95"/>
      <c r="T201" s="94">
        <v>45657</v>
      </c>
      <c r="U201" s="127" t="s">
        <v>845</v>
      </c>
      <c r="V201" s="73">
        <f>$U$2-Table134[[#This Row],[Implementation Due Date]]</f>
        <v>821</v>
      </c>
      <c r="W201" s="15" t="s">
        <v>846</v>
      </c>
      <c r="X201" s="15"/>
      <c r="Y201" s="26" t="s">
        <v>1485</v>
      </c>
      <c r="Z201" s="26"/>
    </row>
    <row r="202" spans="1:26" ht="158.4" x14ac:dyDescent="0.3">
      <c r="A202" s="15">
        <f t="shared" si="3"/>
        <v>199</v>
      </c>
      <c r="B202" s="15" t="s">
        <v>699</v>
      </c>
      <c r="C202" s="15" t="s">
        <v>699</v>
      </c>
      <c r="D202" s="15">
        <v>2023</v>
      </c>
      <c r="E202" s="15"/>
      <c r="F202" s="15" t="s">
        <v>406</v>
      </c>
      <c r="G202" s="16" t="s">
        <v>875</v>
      </c>
      <c r="H202" s="102" t="s">
        <v>1486</v>
      </c>
      <c r="I202" s="63" t="s">
        <v>1487</v>
      </c>
      <c r="J202" s="25" t="s">
        <v>1488</v>
      </c>
      <c r="K202" s="68" t="s">
        <v>50</v>
      </c>
      <c r="L202" s="20" t="s">
        <v>55</v>
      </c>
      <c r="M202" s="118" t="s">
        <v>1484</v>
      </c>
      <c r="N202" s="111">
        <v>45382</v>
      </c>
      <c r="O202" s="111"/>
      <c r="P202" s="129" t="str">
        <f>TEXT(Table134[[#This Row],[Implementation Due Date]],"YYYY")</f>
        <v>2024</v>
      </c>
      <c r="Q202" s="130" t="str">
        <f>"Q"&amp;ROUNDUP(MONTH(Table134[[#This Row],[Implementation Due Date]])/3,0)</f>
        <v>Q1</v>
      </c>
      <c r="R202" s="98">
        <v>2024</v>
      </c>
      <c r="S202" s="95" t="s">
        <v>890</v>
      </c>
      <c r="T202" s="94"/>
      <c r="U202" s="125" t="s">
        <v>706</v>
      </c>
      <c r="V202" s="73" t="s">
        <v>707</v>
      </c>
      <c r="W202" s="15" t="s">
        <v>706</v>
      </c>
      <c r="X202" s="15"/>
      <c r="Y202" s="26" t="s">
        <v>1489</v>
      </c>
      <c r="Z202" s="26"/>
    </row>
    <row r="203" spans="1:26" ht="302.39999999999998" x14ac:dyDescent="0.3">
      <c r="A203" s="15">
        <f t="shared" si="3"/>
        <v>200</v>
      </c>
      <c r="B203" s="15" t="s">
        <v>699</v>
      </c>
      <c r="C203" s="15" t="s">
        <v>699</v>
      </c>
      <c r="D203" s="15">
        <v>2023</v>
      </c>
      <c r="E203" s="15"/>
      <c r="F203" s="15" t="s">
        <v>406</v>
      </c>
      <c r="G203" s="16" t="s">
        <v>875</v>
      </c>
      <c r="H203" s="102" t="s">
        <v>1490</v>
      </c>
      <c r="I203" s="63" t="s">
        <v>1491</v>
      </c>
      <c r="J203" s="25" t="s">
        <v>1492</v>
      </c>
      <c r="K203" s="68" t="s">
        <v>50</v>
      </c>
      <c r="L203" s="20" t="s">
        <v>55</v>
      </c>
      <c r="M203" s="118" t="s">
        <v>1484</v>
      </c>
      <c r="N203" s="111">
        <v>45291</v>
      </c>
      <c r="O203" s="111"/>
      <c r="P203" s="129" t="str">
        <f>TEXT(Table134[[#This Row],[Implementation Due Date]],"YYYY")</f>
        <v>2023</v>
      </c>
      <c r="Q203" s="130" t="str">
        <f>"Q"&amp;ROUNDUP(MONTH(Table134[[#This Row],[Implementation Due Date]])/3,0)</f>
        <v>Q4</v>
      </c>
      <c r="R203" s="98"/>
      <c r="S203" s="95"/>
      <c r="T203" s="94">
        <v>45657</v>
      </c>
      <c r="U203" s="127" t="s">
        <v>845</v>
      </c>
      <c r="V203" s="73">
        <f>$U$2-Table134[[#This Row],[Implementation Due Date]]</f>
        <v>912</v>
      </c>
      <c r="W203" s="15" t="s">
        <v>846</v>
      </c>
      <c r="X203" s="15"/>
      <c r="Y203" s="26" t="s">
        <v>1493</v>
      </c>
      <c r="Z203" s="26"/>
    </row>
    <row r="204" spans="1:26" ht="129.6" x14ac:dyDescent="0.3">
      <c r="A204" s="15">
        <f t="shared" si="3"/>
        <v>201</v>
      </c>
      <c r="B204" s="15" t="s">
        <v>699</v>
      </c>
      <c r="C204" s="15" t="s">
        <v>699</v>
      </c>
      <c r="D204" s="15">
        <v>2023</v>
      </c>
      <c r="E204" s="15"/>
      <c r="F204" s="15" t="s">
        <v>406</v>
      </c>
      <c r="G204" s="16" t="s">
        <v>875</v>
      </c>
      <c r="H204" s="105" t="s">
        <v>1494</v>
      </c>
      <c r="I204" s="63" t="s">
        <v>1495</v>
      </c>
      <c r="J204" s="25" t="s">
        <v>1496</v>
      </c>
      <c r="K204" s="68" t="s">
        <v>79</v>
      </c>
      <c r="L204" s="20" t="s">
        <v>55</v>
      </c>
      <c r="M204" s="118" t="s">
        <v>1484</v>
      </c>
      <c r="N204" s="111">
        <v>45291</v>
      </c>
      <c r="O204" s="111"/>
      <c r="P204" s="129" t="str">
        <f>TEXT(Table134[[#This Row],[Implementation Due Date]],"YYYY")</f>
        <v>2023</v>
      </c>
      <c r="Q204" s="130" t="str">
        <f>"Q"&amp;ROUNDUP(MONTH(Table134[[#This Row],[Implementation Due Date]])/3,0)</f>
        <v>Q4</v>
      </c>
      <c r="R204" s="98">
        <v>2024</v>
      </c>
      <c r="S204" s="95" t="s">
        <v>711</v>
      </c>
      <c r="T204" s="94"/>
      <c r="U204" s="125" t="s">
        <v>706</v>
      </c>
      <c r="V204" s="73" t="s">
        <v>707</v>
      </c>
      <c r="W204" s="15" t="s">
        <v>706</v>
      </c>
      <c r="X204" s="15"/>
      <c r="Y204" s="26" t="s">
        <v>1497</v>
      </c>
      <c r="Z204" s="26"/>
    </row>
    <row r="205" spans="1:26" ht="96.6" x14ac:dyDescent="0.3">
      <c r="A205" s="15">
        <f t="shared" si="3"/>
        <v>202</v>
      </c>
      <c r="B205" s="15" t="s">
        <v>699</v>
      </c>
      <c r="C205" s="15" t="s">
        <v>699</v>
      </c>
      <c r="D205" s="15">
        <v>2023</v>
      </c>
      <c r="E205" s="15"/>
      <c r="F205" s="15" t="s">
        <v>227</v>
      </c>
      <c r="G205" s="16" t="s">
        <v>875</v>
      </c>
      <c r="H205" s="102" t="s">
        <v>1498</v>
      </c>
      <c r="I205" s="63" t="s">
        <v>1499</v>
      </c>
      <c r="J205" s="25" t="s">
        <v>1500</v>
      </c>
      <c r="K205" s="68" t="s">
        <v>50</v>
      </c>
      <c r="L205" s="20" t="s">
        <v>55</v>
      </c>
      <c r="M205" s="118" t="s">
        <v>820</v>
      </c>
      <c r="N205" s="111">
        <v>45291</v>
      </c>
      <c r="O205" s="111"/>
      <c r="P205" s="129" t="str">
        <f>TEXT(Table134[[#This Row],[Implementation Due Date]],"YYYY")</f>
        <v>2023</v>
      </c>
      <c r="Q205" s="130" t="str">
        <f>"Q"&amp;ROUNDUP(MONTH(Table134[[#This Row],[Implementation Due Date]])/3,0)</f>
        <v>Q4</v>
      </c>
      <c r="R205" s="98">
        <v>2024</v>
      </c>
      <c r="S205" s="95" t="s">
        <v>890</v>
      </c>
      <c r="T205" s="94"/>
      <c r="U205" s="125" t="s">
        <v>706</v>
      </c>
      <c r="V205" s="73" t="s">
        <v>707</v>
      </c>
      <c r="W205" s="15" t="s">
        <v>706</v>
      </c>
      <c r="X205" s="15"/>
      <c r="Y205" s="26" t="s">
        <v>1501</v>
      </c>
      <c r="Z205" s="26"/>
    </row>
    <row r="206" spans="1:26" ht="110.4" x14ac:dyDescent="0.3">
      <c r="A206" s="15">
        <f t="shared" si="3"/>
        <v>203</v>
      </c>
      <c r="B206" s="15" t="s">
        <v>699</v>
      </c>
      <c r="C206" s="15" t="s">
        <v>699</v>
      </c>
      <c r="D206" s="15">
        <v>2023</v>
      </c>
      <c r="E206" s="15"/>
      <c r="F206" s="15" t="s">
        <v>227</v>
      </c>
      <c r="G206" s="16" t="s">
        <v>875</v>
      </c>
      <c r="H206" s="102" t="s">
        <v>1502</v>
      </c>
      <c r="I206" s="63" t="s">
        <v>1503</v>
      </c>
      <c r="J206" s="25" t="s">
        <v>1504</v>
      </c>
      <c r="K206" s="68" t="s">
        <v>50</v>
      </c>
      <c r="L206" s="20" t="s">
        <v>844</v>
      </c>
      <c r="M206" s="118" t="s">
        <v>820</v>
      </c>
      <c r="N206" s="111">
        <v>45291</v>
      </c>
      <c r="O206" s="111"/>
      <c r="P206" s="129" t="str">
        <f>TEXT(Table134[[#This Row],[Implementation Due Date]],"YYYY")</f>
        <v>2023</v>
      </c>
      <c r="Q206" s="130" t="str">
        <f>"Q"&amp;ROUNDUP(MONTH(Table134[[#This Row],[Implementation Due Date]])/3,0)</f>
        <v>Q4</v>
      </c>
      <c r="R206" s="98">
        <v>2024</v>
      </c>
      <c r="S206" s="95" t="s">
        <v>890</v>
      </c>
      <c r="T206" s="94"/>
      <c r="U206" s="125" t="s">
        <v>706</v>
      </c>
      <c r="V206" s="73" t="s">
        <v>707</v>
      </c>
      <c r="W206" s="15" t="s">
        <v>706</v>
      </c>
      <c r="X206" s="15"/>
      <c r="Y206" s="26" t="s">
        <v>1505</v>
      </c>
      <c r="Z206" s="26"/>
    </row>
    <row r="207" spans="1:26" ht="69" x14ac:dyDescent="0.3">
      <c r="A207" s="15">
        <f t="shared" si="3"/>
        <v>204</v>
      </c>
      <c r="B207" s="15" t="s">
        <v>699</v>
      </c>
      <c r="C207" s="15" t="s">
        <v>699</v>
      </c>
      <c r="D207" s="15">
        <v>2023</v>
      </c>
      <c r="E207" s="15"/>
      <c r="F207" s="15" t="s">
        <v>227</v>
      </c>
      <c r="G207" s="16" t="s">
        <v>875</v>
      </c>
      <c r="H207" s="102" t="s">
        <v>1506</v>
      </c>
      <c r="I207" s="63" t="s">
        <v>1507</v>
      </c>
      <c r="J207" s="25" t="s">
        <v>1500</v>
      </c>
      <c r="K207" s="68" t="s">
        <v>50</v>
      </c>
      <c r="L207" s="20" t="s">
        <v>55</v>
      </c>
      <c r="M207" s="118" t="s">
        <v>820</v>
      </c>
      <c r="N207" s="111">
        <v>45291</v>
      </c>
      <c r="O207" s="111"/>
      <c r="P207" s="129" t="str">
        <f>TEXT(Table134[[#This Row],[Implementation Due Date]],"YYYY")</f>
        <v>2023</v>
      </c>
      <c r="Q207" s="130" t="str">
        <f>"Q"&amp;ROUNDUP(MONTH(Table134[[#This Row],[Implementation Due Date]])/3,0)</f>
        <v>Q4</v>
      </c>
      <c r="R207" s="98">
        <v>2026</v>
      </c>
      <c r="S207" s="95" t="s">
        <v>799</v>
      </c>
      <c r="T207" s="94">
        <v>45657</v>
      </c>
      <c r="U207" s="126" t="s">
        <v>706</v>
      </c>
      <c r="V207" s="73" t="s">
        <v>707</v>
      </c>
      <c r="W207" s="15" t="s">
        <v>706</v>
      </c>
      <c r="X207" s="15"/>
      <c r="Y207" s="26" t="s">
        <v>1508</v>
      </c>
      <c r="Z207" s="26"/>
    </row>
    <row r="208" spans="1:26" ht="72" x14ac:dyDescent="0.3">
      <c r="A208" s="15">
        <f t="shared" si="3"/>
        <v>205</v>
      </c>
      <c r="B208" s="15" t="s">
        <v>699</v>
      </c>
      <c r="C208" s="15" t="s">
        <v>699</v>
      </c>
      <c r="D208" s="15">
        <v>2023</v>
      </c>
      <c r="E208" s="15"/>
      <c r="F208" s="15" t="s">
        <v>731</v>
      </c>
      <c r="G208" s="15" t="s">
        <v>1050</v>
      </c>
      <c r="H208" s="102" t="s">
        <v>1509</v>
      </c>
      <c r="I208" s="63" t="s">
        <v>1510</v>
      </c>
      <c r="J208" s="25" t="s">
        <v>1511</v>
      </c>
      <c r="K208" s="68" t="s">
        <v>50</v>
      </c>
      <c r="L208" s="20" t="s">
        <v>55</v>
      </c>
      <c r="M208" s="118" t="s">
        <v>1512</v>
      </c>
      <c r="N208" s="111">
        <v>45565</v>
      </c>
      <c r="O208" s="111"/>
      <c r="P208" s="129" t="str">
        <f>TEXT(Table134[[#This Row],[Implementation Due Date]],"YYYY")</f>
        <v>2024</v>
      </c>
      <c r="Q208" s="130" t="str">
        <f>"Q"&amp;ROUNDUP(MONTH(Table134[[#This Row],[Implementation Due Date]])/3,0)</f>
        <v>Q3</v>
      </c>
      <c r="R208" s="98"/>
      <c r="S208" s="95"/>
      <c r="T208" s="94">
        <v>46022</v>
      </c>
      <c r="U208" s="127" t="s">
        <v>845</v>
      </c>
      <c r="V208" s="73">
        <f>$U$2-Table134[[#This Row],[Implementation Due Date]]</f>
        <v>638</v>
      </c>
      <c r="W208" s="15" t="s">
        <v>1513</v>
      </c>
      <c r="X208" s="15"/>
      <c r="Y208" s="26" t="s">
        <v>1514</v>
      </c>
      <c r="Z208" s="26"/>
    </row>
    <row r="209" spans="1:26" ht="138" x14ac:dyDescent="0.3">
      <c r="A209" s="15">
        <f t="shared" si="3"/>
        <v>206</v>
      </c>
      <c r="B209" s="15" t="s">
        <v>699</v>
      </c>
      <c r="C209" s="15" t="s">
        <v>699</v>
      </c>
      <c r="D209" s="15">
        <v>2023</v>
      </c>
      <c r="E209" s="15"/>
      <c r="F209" s="15" t="s">
        <v>731</v>
      </c>
      <c r="G209" s="15" t="s">
        <v>1050</v>
      </c>
      <c r="H209" s="102" t="s">
        <v>1515</v>
      </c>
      <c r="I209" s="63" t="s">
        <v>1516</v>
      </c>
      <c r="J209" s="25" t="s">
        <v>1517</v>
      </c>
      <c r="K209" s="68" t="s">
        <v>50</v>
      </c>
      <c r="L209" s="20" t="s">
        <v>55</v>
      </c>
      <c r="M209" s="118" t="s">
        <v>1512</v>
      </c>
      <c r="N209" s="111">
        <v>45565</v>
      </c>
      <c r="O209" s="111"/>
      <c r="P209" s="129" t="str">
        <f>TEXT(Table134[[#This Row],[Implementation Due Date]],"YYYY")</f>
        <v>2024</v>
      </c>
      <c r="Q209" s="130" t="str">
        <f>"Q"&amp;ROUNDUP(MONTH(Table134[[#This Row],[Implementation Due Date]])/3,0)</f>
        <v>Q3</v>
      </c>
      <c r="R209" s="98"/>
      <c r="S209" s="95"/>
      <c r="T209" s="94">
        <v>46022</v>
      </c>
      <c r="U209" s="127" t="s">
        <v>845</v>
      </c>
      <c r="V209" s="73">
        <f>$U$2-Table134[[#This Row],[Implementation Due Date]]</f>
        <v>638</v>
      </c>
      <c r="W209" s="15" t="s">
        <v>1513</v>
      </c>
      <c r="X209" s="15"/>
      <c r="Y209" s="26" t="s">
        <v>1518</v>
      </c>
      <c r="Z209" s="26"/>
    </row>
    <row r="210" spans="1:26" ht="96.6" x14ac:dyDescent="0.3">
      <c r="A210" s="15">
        <f t="shared" si="3"/>
        <v>207</v>
      </c>
      <c r="B210" s="15" t="s">
        <v>699</v>
      </c>
      <c r="C210" s="15" t="s">
        <v>699</v>
      </c>
      <c r="D210" s="15">
        <v>2023</v>
      </c>
      <c r="E210" s="15"/>
      <c r="F210" s="15" t="s">
        <v>731</v>
      </c>
      <c r="G210" s="15" t="s">
        <v>1050</v>
      </c>
      <c r="H210" s="102" t="s">
        <v>1519</v>
      </c>
      <c r="I210" s="63" t="s">
        <v>1520</v>
      </c>
      <c r="J210" s="25" t="s">
        <v>1521</v>
      </c>
      <c r="K210" s="68" t="s">
        <v>50</v>
      </c>
      <c r="L210" s="20" t="s">
        <v>55</v>
      </c>
      <c r="M210" s="118" t="s">
        <v>1512</v>
      </c>
      <c r="N210" s="111">
        <v>45565</v>
      </c>
      <c r="O210" s="111"/>
      <c r="P210" s="129" t="str">
        <f>TEXT(Table134[[#This Row],[Implementation Due Date]],"YYYY")</f>
        <v>2024</v>
      </c>
      <c r="Q210" s="130" t="str">
        <f>"Q"&amp;ROUNDUP(MONTH(Table134[[#This Row],[Implementation Due Date]])/3,0)</f>
        <v>Q3</v>
      </c>
      <c r="R210" s="98"/>
      <c r="S210" s="95"/>
      <c r="T210" s="94">
        <v>46022</v>
      </c>
      <c r="U210" s="127" t="s">
        <v>845</v>
      </c>
      <c r="V210" s="73">
        <f>$U$2-Table134[[#This Row],[Implementation Due Date]]</f>
        <v>638</v>
      </c>
      <c r="W210" s="15" t="s">
        <v>1513</v>
      </c>
      <c r="X210" s="15"/>
      <c r="Y210" s="26" t="s">
        <v>1522</v>
      </c>
      <c r="Z210" s="26"/>
    </row>
    <row r="211" spans="1:26" ht="72" x14ac:dyDescent="0.3">
      <c r="A211" s="15">
        <f t="shared" si="3"/>
        <v>208</v>
      </c>
      <c r="B211" s="15" t="s">
        <v>699</v>
      </c>
      <c r="C211" s="15" t="s">
        <v>699</v>
      </c>
      <c r="D211" s="15">
        <v>2023</v>
      </c>
      <c r="E211" s="15"/>
      <c r="F211" s="15" t="s">
        <v>731</v>
      </c>
      <c r="G211" s="15" t="s">
        <v>1050</v>
      </c>
      <c r="H211" s="102" t="s">
        <v>1523</v>
      </c>
      <c r="I211" s="63" t="s">
        <v>1524</v>
      </c>
      <c r="J211" s="25" t="s">
        <v>1525</v>
      </c>
      <c r="K211" s="68" t="s">
        <v>50</v>
      </c>
      <c r="L211" s="20" t="s">
        <v>55</v>
      </c>
      <c r="M211" s="118" t="s">
        <v>1512</v>
      </c>
      <c r="N211" s="111">
        <v>45565</v>
      </c>
      <c r="O211" s="111"/>
      <c r="P211" s="129" t="str">
        <f>TEXT(Table134[[#This Row],[Implementation Due Date]],"YYYY")</f>
        <v>2024</v>
      </c>
      <c r="Q211" s="130" t="str">
        <f>"Q"&amp;ROUNDUP(MONTH(Table134[[#This Row],[Implementation Due Date]])/3,0)</f>
        <v>Q3</v>
      </c>
      <c r="R211" s="98"/>
      <c r="S211" s="95"/>
      <c r="T211" s="94">
        <v>46022</v>
      </c>
      <c r="U211" s="127" t="s">
        <v>845</v>
      </c>
      <c r="V211" s="73">
        <f>$U$2-Table134[[#This Row],[Implementation Due Date]]</f>
        <v>638</v>
      </c>
      <c r="W211" s="15" t="s">
        <v>1513</v>
      </c>
      <c r="X211" s="15"/>
      <c r="Y211" s="26" t="s">
        <v>1526</v>
      </c>
      <c r="Z211" s="26"/>
    </row>
    <row r="212" spans="1:26" ht="409.6" x14ac:dyDescent="0.3">
      <c r="A212" s="15">
        <f t="shared" si="3"/>
        <v>209</v>
      </c>
      <c r="B212" s="15" t="s">
        <v>699</v>
      </c>
      <c r="C212" s="15" t="s">
        <v>699</v>
      </c>
      <c r="D212" s="15">
        <v>2023</v>
      </c>
      <c r="E212" s="15"/>
      <c r="F212" s="15" t="s">
        <v>1049</v>
      </c>
      <c r="G212" s="15" t="s">
        <v>1050</v>
      </c>
      <c r="H212" s="102" t="s">
        <v>1527</v>
      </c>
      <c r="I212" s="63" t="s">
        <v>1528</v>
      </c>
      <c r="J212" s="25" t="s">
        <v>1529</v>
      </c>
      <c r="K212" s="68" t="s">
        <v>50</v>
      </c>
      <c r="L212" s="20" t="s">
        <v>26</v>
      </c>
      <c r="M212" s="118" t="s">
        <v>1530</v>
      </c>
      <c r="N212" s="111">
        <v>45503</v>
      </c>
      <c r="O212" s="111"/>
      <c r="P212" s="129" t="str">
        <f>TEXT(Table134[[#This Row],[Implementation Due Date]],"YYYY")</f>
        <v>2024</v>
      </c>
      <c r="Q212" s="130" t="str">
        <f>"Q"&amp;ROUNDUP(MONTH(Table134[[#This Row],[Implementation Due Date]])/3,0)</f>
        <v>Q3</v>
      </c>
      <c r="R212" s="98">
        <v>2025</v>
      </c>
      <c r="S212" s="95" t="s">
        <v>799</v>
      </c>
      <c r="T212" s="94"/>
      <c r="U212" s="125" t="s">
        <v>706</v>
      </c>
      <c r="V212" s="73" t="s">
        <v>707</v>
      </c>
      <c r="W212" s="15" t="s">
        <v>706</v>
      </c>
      <c r="X212" s="15"/>
      <c r="Y212" s="26" t="s">
        <v>1531</v>
      </c>
      <c r="Z212" s="26"/>
    </row>
    <row r="213" spans="1:26" ht="220.8" x14ac:dyDescent="0.3">
      <c r="A213" s="15">
        <f t="shared" si="3"/>
        <v>210</v>
      </c>
      <c r="B213" s="15" t="s">
        <v>699</v>
      </c>
      <c r="C213" s="15" t="s">
        <v>699</v>
      </c>
      <c r="D213" s="15">
        <v>2023</v>
      </c>
      <c r="E213" s="15"/>
      <c r="F213" s="15" t="s">
        <v>1049</v>
      </c>
      <c r="G213" s="15" t="s">
        <v>1050</v>
      </c>
      <c r="H213" s="102" t="s">
        <v>1532</v>
      </c>
      <c r="I213" s="63" t="s">
        <v>1533</v>
      </c>
      <c r="J213" s="25" t="s">
        <v>1534</v>
      </c>
      <c r="K213" s="68" t="s">
        <v>50</v>
      </c>
      <c r="L213" s="20" t="s">
        <v>55</v>
      </c>
      <c r="M213" s="118" t="s">
        <v>1530</v>
      </c>
      <c r="N213" s="111">
        <v>45503</v>
      </c>
      <c r="O213" s="111"/>
      <c r="P213" s="129" t="str">
        <f>TEXT(Table134[[#This Row],[Implementation Due Date]],"YYYY")</f>
        <v>2024</v>
      </c>
      <c r="Q213" s="130" t="str">
        <f>"Q"&amp;ROUNDUP(MONTH(Table134[[#This Row],[Implementation Due Date]])/3,0)</f>
        <v>Q3</v>
      </c>
      <c r="R213" s="98">
        <v>2024</v>
      </c>
      <c r="S213" s="95" t="s">
        <v>705</v>
      </c>
      <c r="T213" s="94"/>
      <c r="U213" s="125" t="s">
        <v>706</v>
      </c>
      <c r="V213" s="73" t="s">
        <v>707</v>
      </c>
      <c r="W213" s="15" t="s">
        <v>706</v>
      </c>
      <c r="X213" s="15"/>
      <c r="Y213" s="26" t="s">
        <v>1535</v>
      </c>
      <c r="Z213" s="26"/>
    </row>
    <row r="214" spans="1:26" ht="409.6" x14ac:dyDescent="0.3">
      <c r="A214" s="15">
        <f t="shared" si="3"/>
        <v>211</v>
      </c>
      <c r="B214" s="15" t="s">
        <v>699</v>
      </c>
      <c r="C214" s="15" t="s">
        <v>699</v>
      </c>
      <c r="D214" s="15">
        <v>2023</v>
      </c>
      <c r="E214" s="15"/>
      <c r="F214" s="15" t="s">
        <v>1049</v>
      </c>
      <c r="G214" s="15" t="s">
        <v>1050</v>
      </c>
      <c r="H214" s="102" t="s">
        <v>1536</v>
      </c>
      <c r="I214" s="63" t="s">
        <v>1537</v>
      </c>
      <c r="J214" s="25" t="s">
        <v>1538</v>
      </c>
      <c r="K214" s="68" t="s">
        <v>50</v>
      </c>
      <c r="L214" s="20" t="s">
        <v>55</v>
      </c>
      <c r="M214" s="118" t="s">
        <v>1530</v>
      </c>
      <c r="N214" s="111">
        <v>45503</v>
      </c>
      <c r="O214" s="111"/>
      <c r="P214" s="129" t="str">
        <f>TEXT(Table134[[#This Row],[Implementation Due Date]],"YYYY")</f>
        <v>2024</v>
      </c>
      <c r="Q214" s="130" t="str">
        <f>"Q"&amp;ROUNDUP(MONTH(Table134[[#This Row],[Implementation Due Date]])/3,0)</f>
        <v>Q3</v>
      </c>
      <c r="R214" s="98">
        <v>2024</v>
      </c>
      <c r="S214" s="95" t="s">
        <v>705</v>
      </c>
      <c r="T214" s="94"/>
      <c r="U214" s="125" t="s">
        <v>706</v>
      </c>
      <c r="V214" s="73" t="s">
        <v>707</v>
      </c>
      <c r="W214" s="15" t="s">
        <v>706</v>
      </c>
      <c r="X214" s="15"/>
      <c r="Y214" s="26" t="s">
        <v>1539</v>
      </c>
      <c r="Z214" s="26"/>
    </row>
    <row r="215" spans="1:26" ht="220.8" x14ac:dyDescent="0.3">
      <c r="A215" s="15">
        <f t="shared" si="3"/>
        <v>212</v>
      </c>
      <c r="B215" s="15" t="s">
        <v>699</v>
      </c>
      <c r="C215" s="15" t="s">
        <v>699</v>
      </c>
      <c r="D215" s="15">
        <v>2023</v>
      </c>
      <c r="E215" s="15"/>
      <c r="F215" s="15" t="s">
        <v>1049</v>
      </c>
      <c r="G215" s="15" t="s">
        <v>1050</v>
      </c>
      <c r="H215" s="102" t="s">
        <v>1540</v>
      </c>
      <c r="I215" s="63" t="s">
        <v>1541</v>
      </c>
      <c r="J215" s="25" t="s">
        <v>1542</v>
      </c>
      <c r="K215" s="68" t="s">
        <v>50</v>
      </c>
      <c r="L215" s="20" t="s">
        <v>55</v>
      </c>
      <c r="M215" s="118" t="s">
        <v>1530</v>
      </c>
      <c r="N215" s="111">
        <v>45503</v>
      </c>
      <c r="O215" s="111"/>
      <c r="P215" s="129" t="str">
        <f>TEXT(Table134[[#This Row],[Implementation Due Date]],"YYYY")</f>
        <v>2024</v>
      </c>
      <c r="Q215" s="130" t="str">
        <f>"Q"&amp;ROUNDUP(MONTH(Table134[[#This Row],[Implementation Due Date]])/3,0)</f>
        <v>Q3</v>
      </c>
      <c r="R215" s="98">
        <v>2024</v>
      </c>
      <c r="S215" s="95" t="s">
        <v>705</v>
      </c>
      <c r="T215" s="94"/>
      <c r="U215" s="125" t="s">
        <v>706</v>
      </c>
      <c r="V215" s="73" t="s">
        <v>707</v>
      </c>
      <c r="W215" s="15" t="s">
        <v>706</v>
      </c>
      <c r="X215" s="15"/>
      <c r="Y215" s="26" t="s">
        <v>1543</v>
      </c>
      <c r="Z215" s="26"/>
    </row>
    <row r="216" spans="1:26" ht="151.80000000000001" x14ac:dyDescent="0.3">
      <c r="A216" s="15">
        <f t="shared" si="3"/>
        <v>213</v>
      </c>
      <c r="B216" s="15" t="s">
        <v>699</v>
      </c>
      <c r="C216" s="15" t="s">
        <v>699</v>
      </c>
      <c r="D216" s="15">
        <v>2023</v>
      </c>
      <c r="E216" s="15"/>
      <c r="F216" s="15" t="s">
        <v>1049</v>
      </c>
      <c r="G216" s="15" t="s">
        <v>1050</v>
      </c>
      <c r="H216" s="102" t="s">
        <v>1544</v>
      </c>
      <c r="I216" s="63" t="s">
        <v>1545</v>
      </c>
      <c r="J216" s="25" t="s">
        <v>1546</v>
      </c>
      <c r="K216" s="68" t="s">
        <v>50</v>
      </c>
      <c r="L216" s="20" t="s">
        <v>55</v>
      </c>
      <c r="M216" s="118" t="s">
        <v>1530</v>
      </c>
      <c r="N216" s="111">
        <v>45503</v>
      </c>
      <c r="O216" s="111"/>
      <c r="P216" s="129" t="str">
        <f>TEXT(Table134[[#This Row],[Implementation Due Date]],"YYYY")</f>
        <v>2024</v>
      </c>
      <c r="Q216" s="130" t="str">
        <f>"Q"&amp;ROUNDUP(MONTH(Table134[[#This Row],[Implementation Due Date]])/3,0)</f>
        <v>Q3</v>
      </c>
      <c r="R216" s="98">
        <v>2024</v>
      </c>
      <c r="S216" s="95" t="s">
        <v>705</v>
      </c>
      <c r="T216" s="94"/>
      <c r="U216" s="125" t="s">
        <v>706</v>
      </c>
      <c r="V216" s="73" t="s">
        <v>707</v>
      </c>
      <c r="W216" s="15" t="s">
        <v>706</v>
      </c>
      <c r="X216" s="15"/>
      <c r="Y216" s="26" t="s">
        <v>1547</v>
      </c>
      <c r="Z216" s="26"/>
    </row>
    <row r="217" spans="1:26" ht="72" x14ac:dyDescent="0.3">
      <c r="A217" s="15">
        <f t="shared" si="3"/>
        <v>214</v>
      </c>
      <c r="B217" s="15" t="s">
        <v>699</v>
      </c>
      <c r="C217" s="15" t="s">
        <v>699</v>
      </c>
      <c r="D217" s="15">
        <v>2023</v>
      </c>
      <c r="E217" s="15"/>
      <c r="F217" s="15" t="s">
        <v>1049</v>
      </c>
      <c r="G217" s="15" t="s">
        <v>1050</v>
      </c>
      <c r="H217" s="102" t="s">
        <v>1548</v>
      </c>
      <c r="I217" s="63" t="s">
        <v>1549</v>
      </c>
      <c r="J217" s="25" t="s">
        <v>1550</v>
      </c>
      <c r="K217" s="68" t="s">
        <v>79</v>
      </c>
      <c r="L217" s="20" t="s">
        <v>55</v>
      </c>
      <c r="M217" s="118" t="s">
        <v>1551</v>
      </c>
      <c r="N217" s="111">
        <v>45503</v>
      </c>
      <c r="O217" s="111"/>
      <c r="P217" s="129" t="str">
        <f>TEXT(Table134[[#This Row],[Implementation Due Date]],"YYYY")</f>
        <v>2024</v>
      </c>
      <c r="Q217" s="130" t="str">
        <f>"Q"&amp;ROUNDUP(MONTH(Table134[[#This Row],[Implementation Due Date]])/3,0)</f>
        <v>Q3</v>
      </c>
      <c r="R217" s="98">
        <v>2024</v>
      </c>
      <c r="S217" s="95" t="s">
        <v>705</v>
      </c>
      <c r="T217" s="94"/>
      <c r="U217" s="125" t="s">
        <v>706</v>
      </c>
      <c r="V217" s="73" t="s">
        <v>707</v>
      </c>
      <c r="W217" s="15" t="s">
        <v>706</v>
      </c>
      <c r="X217" s="15"/>
      <c r="Y217" s="26" t="s">
        <v>1552</v>
      </c>
      <c r="Z217" s="26"/>
    </row>
    <row r="218" spans="1:26" ht="110.4" x14ac:dyDescent="0.3">
      <c r="A218" s="15">
        <f t="shared" si="3"/>
        <v>215</v>
      </c>
      <c r="B218" s="15" t="s">
        <v>699</v>
      </c>
      <c r="C218" s="15" t="s">
        <v>699</v>
      </c>
      <c r="D218" s="15">
        <v>2023</v>
      </c>
      <c r="E218" s="15"/>
      <c r="F218" s="15" t="s">
        <v>1049</v>
      </c>
      <c r="G218" s="15" t="s">
        <v>1050</v>
      </c>
      <c r="H218" s="102" t="s">
        <v>1553</v>
      </c>
      <c r="I218" s="63" t="s">
        <v>1554</v>
      </c>
      <c r="J218" s="25" t="s">
        <v>1555</v>
      </c>
      <c r="K218" s="68" t="s">
        <v>79</v>
      </c>
      <c r="L218" s="20" t="s">
        <v>55</v>
      </c>
      <c r="M218" s="118" t="s">
        <v>1530</v>
      </c>
      <c r="N218" s="111">
        <v>45503</v>
      </c>
      <c r="O218" s="111"/>
      <c r="P218" s="129" t="str">
        <f>TEXT(Table134[[#This Row],[Implementation Due Date]],"YYYY")</f>
        <v>2024</v>
      </c>
      <c r="Q218" s="130" t="str">
        <f>"Q"&amp;ROUNDUP(MONTH(Table134[[#This Row],[Implementation Due Date]])/3,0)</f>
        <v>Q3</v>
      </c>
      <c r="R218" s="98">
        <v>2024</v>
      </c>
      <c r="S218" s="95" t="s">
        <v>705</v>
      </c>
      <c r="T218" s="94"/>
      <c r="U218" s="125" t="s">
        <v>706</v>
      </c>
      <c r="V218" s="73" t="s">
        <v>707</v>
      </c>
      <c r="W218" s="15" t="s">
        <v>706</v>
      </c>
      <c r="X218" s="15"/>
      <c r="Y218" s="26" t="s">
        <v>1556</v>
      </c>
      <c r="Z218" s="26"/>
    </row>
    <row r="219" spans="1:26" ht="409.6" x14ac:dyDescent="0.3">
      <c r="A219" s="15">
        <f t="shared" si="3"/>
        <v>216</v>
      </c>
      <c r="B219" s="15" t="s">
        <v>699</v>
      </c>
      <c r="C219" s="15" t="s">
        <v>699</v>
      </c>
      <c r="D219" s="15">
        <v>2023</v>
      </c>
      <c r="E219" s="15"/>
      <c r="F219" s="15" t="s">
        <v>1049</v>
      </c>
      <c r="G219" s="15" t="s">
        <v>1050</v>
      </c>
      <c r="H219" s="102" t="s">
        <v>1557</v>
      </c>
      <c r="I219" s="63" t="s">
        <v>1558</v>
      </c>
      <c r="J219" s="25" t="s">
        <v>1559</v>
      </c>
      <c r="K219" s="68" t="s">
        <v>79</v>
      </c>
      <c r="L219" s="20" t="s">
        <v>55</v>
      </c>
      <c r="M219" s="118" t="s">
        <v>1530</v>
      </c>
      <c r="N219" s="111">
        <v>45503</v>
      </c>
      <c r="O219" s="111"/>
      <c r="P219" s="129" t="str">
        <f>TEXT(Table134[[#This Row],[Implementation Due Date]],"YYYY")</f>
        <v>2024</v>
      </c>
      <c r="Q219" s="130" t="str">
        <f>"Q"&amp;ROUNDUP(MONTH(Table134[[#This Row],[Implementation Due Date]])/3,0)</f>
        <v>Q3</v>
      </c>
      <c r="R219" s="98"/>
      <c r="S219" s="95"/>
      <c r="T219" s="94">
        <v>46022</v>
      </c>
      <c r="U219" s="127" t="s">
        <v>845</v>
      </c>
      <c r="V219" s="73">
        <f>$U$2-Table134[[#This Row],[Implementation Due Date]]</f>
        <v>700</v>
      </c>
      <c r="W219" s="15" t="s">
        <v>1513</v>
      </c>
      <c r="X219" s="15"/>
      <c r="Y219" s="26" t="s">
        <v>1560</v>
      </c>
      <c r="Z219" s="26"/>
    </row>
    <row r="220" spans="1:26" ht="207" x14ac:dyDescent="0.3">
      <c r="A220" s="15">
        <f t="shared" si="3"/>
        <v>217</v>
      </c>
      <c r="B220" s="15" t="s">
        <v>699</v>
      </c>
      <c r="C220" s="15" t="s">
        <v>699</v>
      </c>
      <c r="D220" s="15">
        <v>2023</v>
      </c>
      <c r="E220" s="15"/>
      <c r="F220" s="15" t="s">
        <v>700</v>
      </c>
      <c r="G220" s="15" t="s">
        <v>1050</v>
      </c>
      <c r="H220" s="102" t="s">
        <v>1561</v>
      </c>
      <c r="I220" s="63" t="s">
        <v>1562</v>
      </c>
      <c r="J220" s="25" t="s">
        <v>1563</v>
      </c>
      <c r="K220" s="68" t="s">
        <v>50</v>
      </c>
      <c r="L220" s="20" t="s">
        <v>55</v>
      </c>
      <c r="M220" s="118" t="s">
        <v>704</v>
      </c>
      <c r="N220" s="111">
        <v>45503</v>
      </c>
      <c r="O220" s="111"/>
      <c r="P220" s="129" t="str">
        <f>TEXT(Table134[[#This Row],[Implementation Due Date]],"YYYY")</f>
        <v>2024</v>
      </c>
      <c r="Q220" s="130" t="str">
        <f>"Q"&amp;ROUNDUP(MONTH(Table134[[#This Row],[Implementation Due Date]])/3,0)</f>
        <v>Q3</v>
      </c>
      <c r="R220" s="98">
        <v>2024</v>
      </c>
      <c r="S220" s="95" t="s">
        <v>705</v>
      </c>
      <c r="T220" s="94"/>
      <c r="U220" s="125" t="s">
        <v>706</v>
      </c>
      <c r="V220" s="73" t="s">
        <v>707</v>
      </c>
      <c r="W220" s="15" t="s">
        <v>706</v>
      </c>
      <c r="X220" s="15"/>
      <c r="Y220" s="26" t="s">
        <v>1564</v>
      </c>
      <c r="Z220" s="26"/>
    </row>
    <row r="221" spans="1:26" ht="409.6" x14ac:dyDescent="0.3">
      <c r="A221" s="15">
        <f t="shared" si="3"/>
        <v>218</v>
      </c>
      <c r="B221" s="15" t="s">
        <v>699</v>
      </c>
      <c r="C221" s="15" t="s">
        <v>699</v>
      </c>
      <c r="D221" s="15">
        <v>2023</v>
      </c>
      <c r="E221" s="15"/>
      <c r="F221" s="15" t="s">
        <v>700</v>
      </c>
      <c r="G221" s="15" t="s">
        <v>1050</v>
      </c>
      <c r="H221" s="102" t="s">
        <v>1565</v>
      </c>
      <c r="I221" s="63" t="s">
        <v>1566</v>
      </c>
      <c r="J221" s="25" t="s">
        <v>1567</v>
      </c>
      <c r="K221" s="68" t="s">
        <v>50</v>
      </c>
      <c r="L221" s="20" t="s">
        <v>55</v>
      </c>
      <c r="M221" s="118" t="s">
        <v>704</v>
      </c>
      <c r="N221" s="111">
        <v>45503</v>
      </c>
      <c r="O221" s="111"/>
      <c r="P221" s="129" t="str">
        <f>TEXT(Table134[[#This Row],[Implementation Due Date]],"YYYY")</f>
        <v>2024</v>
      </c>
      <c r="Q221" s="130" t="str">
        <f>"Q"&amp;ROUNDUP(MONTH(Table134[[#This Row],[Implementation Due Date]])/3,0)</f>
        <v>Q3</v>
      </c>
      <c r="R221" s="98">
        <v>2024</v>
      </c>
      <c r="S221" s="95" t="s">
        <v>705</v>
      </c>
      <c r="T221" s="94"/>
      <c r="U221" s="125" t="s">
        <v>706</v>
      </c>
      <c r="V221" s="73" t="s">
        <v>707</v>
      </c>
      <c r="W221" s="15" t="s">
        <v>706</v>
      </c>
      <c r="X221" s="15"/>
      <c r="Y221" s="26" t="s">
        <v>1568</v>
      </c>
      <c r="Z221" s="26"/>
    </row>
    <row r="222" spans="1:26" ht="187.2" x14ac:dyDescent="0.3">
      <c r="A222" s="15">
        <f t="shared" si="3"/>
        <v>219</v>
      </c>
      <c r="B222" s="15" t="s">
        <v>699</v>
      </c>
      <c r="C222" s="15" t="s">
        <v>699</v>
      </c>
      <c r="D222" s="15">
        <v>2023</v>
      </c>
      <c r="E222" s="15"/>
      <c r="F222" s="15" t="s">
        <v>700</v>
      </c>
      <c r="G222" s="15" t="s">
        <v>1050</v>
      </c>
      <c r="H222" s="102" t="s">
        <v>1569</v>
      </c>
      <c r="I222" s="63" t="s">
        <v>1570</v>
      </c>
      <c r="J222" s="25" t="s">
        <v>1571</v>
      </c>
      <c r="K222" s="68" t="s">
        <v>50</v>
      </c>
      <c r="L222" s="20" t="s">
        <v>55</v>
      </c>
      <c r="M222" s="118" t="s">
        <v>704</v>
      </c>
      <c r="N222" s="111">
        <v>45503</v>
      </c>
      <c r="O222" s="111"/>
      <c r="P222" s="129" t="str">
        <f>TEXT(Table134[[#This Row],[Implementation Due Date]],"YYYY")</f>
        <v>2024</v>
      </c>
      <c r="Q222" s="130" t="str">
        <f>"Q"&amp;ROUNDUP(MONTH(Table134[[#This Row],[Implementation Due Date]])/3,0)</f>
        <v>Q3</v>
      </c>
      <c r="R222" s="98">
        <v>2024</v>
      </c>
      <c r="S222" s="95" t="s">
        <v>705</v>
      </c>
      <c r="T222" s="94"/>
      <c r="U222" s="125" t="s">
        <v>706</v>
      </c>
      <c r="V222" s="73" t="s">
        <v>707</v>
      </c>
      <c r="W222" s="15" t="s">
        <v>706</v>
      </c>
      <c r="X222" s="15"/>
      <c r="Y222" s="26" t="s">
        <v>1572</v>
      </c>
      <c r="Z222" s="26"/>
    </row>
    <row r="223" spans="1:26" ht="110.4" x14ac:dyDescent="0.3">
      <c r="A223" s="15">
        <f t="shared" si="3"/>
        <v>220</v>
      </c>
      <c r="B223" s="15" t="s">
        <v>699</v>
      </c>
      <c r="C223" s="15" t="s">
        <v>699</v>
      </c>
      <c r="D223" s="15">
        <v>2023</v>
      </c>
      <c r="E223" s="15"/>
      <c r="F223" s="15" t="s">
        <v>700</v>
      </c>
      <c r="G223" s="15" t="s">
        <v>1050</v>
      </c>
      <c r="H223" s="102" t="s">
        <v>1573</v>
      </c>
      <c r="I223" s="63" t="s">
        <v>1574</v>
      </c>
      <c r="J223" s="25" t="s">
        <v>1575</v>
      </c>
      <c r="K223" s="68" t="s">
        <v>50</v>
      </c>
      <c r="L223" s="20" t="s">
        <v>55</v>
      </c>
      <c r="M223" s="118" t="s">
        <v>704</v>
      </c>
      <c r="N223" s="111">
        <v>45503</v>
      </c>
      <c r="O223" s="111"/>
      <c r="P223" s="129" t="str">
        <f>TEXT(Table134[[#This Row],[Implementation Due Date]],"YYYY")</f>
        <v>2024</v>
      </c>
      <c r="Q223" s="130" t="str">
        <f>"Q"&amp;ROUNDUP(MONTH(Table134[[#This Row],[Implementation Due Date]])/3,0)</f>
        <v>Q3</v>
      </c>
      <c r="R223" s="98">
        <v>2025</v>
      </c>
      <c r="S223" s="95" t="s">
        <v>799</v>
      </c>
      <c r="T223" s="94"/>
      <c r="U223" s="125" t="s">
        <v>706</v>
      </c>
      <c r="V223" s="73" t="s">
        <v>707</v>
      </c>
      <c r="W223" s="15" t="s">
        <v>706</v>
      </c>
      <c r="X223" s="15"/>
      <c r="Y223" s="26" t="s">
        <v>1576</v>
      </c>
      <c r="Z223" s="26"/>
    </row>
    <row r="224" spans="1:26" ht="409.6" x14ac:dyDescent="0.3">
      <c r="A224" s="15">
        <f t="shared" si="3"/>
        <v>221</v>
      </c>
      <c r="B224" s="15" t="s">
        <v>699</v>
      </c>
      <c r="C224" s="15" t="s">
        <v>699</v>
      </c>
      <c r="D224" s="15">
        <v>2023</v>
      </c>
      <c r="E224" s="15"/>
      <c r="F224" s="15" t="s">
        <v>700</v>
      </c>
      <c r="G224" s="15" t="s">
        <v>1050</v>
      </c>
      <c r="H224" s="102" t="s">
        <v>1175</v>
      </c>
      <c r="I224" s="63" t="s">
        <v>1577</v>
      </c>
      <c r="J224" s="25" t="s">
        <v>1578</v>
      </c>
      <c r="K224" s="68" t="s">
        <v>50</v>
      </c>
      <c r="L224" s="20" t="s">
        <v>55</v>
      </c>
      <c r="M224" s="118" t="s">
        <v>704</v>
      </c>
      <c r="N224" s="111">
        <v>45503</v>
      </c>
      <c r="O224" s="111"/>
      <c r="P224" s="129" t="str">
        <f>TEXT(Table134[[#This Row],[Implementation Due Date]],"YYYY")</f>
        <v>2024</v>
      </c>
      <c r="Q224" s="130" t="str">
        <f>"Q"&amp;ROUNDUP(MONTH(Table134[[#This Row],[Implementation Due Date]])/3,0)</f>
        <v>Q3</v>
      </c>
      <c r="R224" s="98"/>
      <c r="S224" s="95"/>
      <c r="T224" s="94">
        <v>45657</v>
      </c>
      <c r="U224" s="127" t="s">
        <v>845</v>
      </c>
      <c r="V224" s="73">
        <f>$U$2-Table134[[#This Row],[Implementation Due Date]]</f>
        <v>700</v>
      </c>
      <c r="W224" s="15" t="s">
        <v>1513</v>
      </c>
      <c r="X224" s="15"/>
      <c r="Y224" s="26" t="s">
        <v>1579</v>
      </c>
      <c r="Z224" s="26"/>
    </row>
    <row r="225" spans="1:26" ht="151.80000000000001" x14ac:dyDescent="0.3">
      <c r="A225" s="15">
        <f t="shared" si="3"/>
        <v>222</v>
      </c>
      <c r="B225" s="15" t="s">
        <v>699</v>
      </c>
      <c r="C225" s="15" t="s">
        <v>699</v>
      </c>
      <c r="D225" s="15">
        <v>2023</v>
      </c>
      <c r="E225" s="15"/>
      <c r="F225" s="15" t="s">
        <v>700</v>
      </c>
      <c r="G225" s="15" t="s">
        <v>1050</v>
      </c>
      <c r="H225" s="102" t="s">
        <v>1580</v>
      </c>
      <c r="I225" s="63" t="s">
        <v>1581</v>
      </c>
      <c r="J225" s="25" t="s">
        <v>1582</v>
      </c>
      <c r="K225" s="68" t="s">
        <v>79</v>
      </c>
      <c r="L225" s="20" t="s">
        <v>55</v>
      </c>
      <c r="M225" s="118" t="s">
        <v>704</v>
      </c>
      <c r="N225" s="111">
        <v>45503</v>
      </c>
      <c r="O225" s="111"/>
      <c r="P225" s="129" t="str">
        <f>TEXT(Table134[[#This Row],[Implementation Due Date]],"YYYY")</f>
        <v>2024</v>
      </c>
      <c r="Q225" s="130" t="str">
        <f>"Q"&amp;ROUNDUP(MONTH(Table134[[#This Row],[Implementation Due Date]])/3,0)</f>
        <v>Q3</v>
      </c>
      <c r="R225" s="98">
        <v>2024</v>
      </c>
      <c r="S225" s="95" t="s">
        <v>705</v>
      </c>
      <c r="T225" s="94"/>
      <c r="U225" s="125" t="s">
        <v>706</v>
      </c>
      <c r="V225" s="73" t="s">
        <v>707</v>
      </c>
      <c r="W225" s="15" t="s">
        <v>706</v>
      </c>
      <c r="X225" s="15"/>
      <c r="Y225" s="26" t="s">
        <v>1583</v>
      </c>
      <c r="Z225" s="26"/>
    </row>
    <row r="226" spans="1:26" ht="230.4" x14ac:dyDescent="0.3">
      <c r="A226" s="15">
        <f t="shared" si="3"/>
        <v>223</v>
      </c>
      <c r="B226" s="15" t="s">
        <v>699</v>
      </c>
      <c r="C226" s="15" t="s">
        <v>699</v>
      </c>
      <c r="D226" s="15">
        <v>2023</v>
      </c>
      <c r="E226" s="15"/>
      <c r="F226" s="15" t="s">
        <v>700</v>
      </c>
      <c r="G226" s="15" t="s">
        <v>1050</v>
      </c>
      <c r="H226" s="102" t="s">
        <v>1170</v>
      </c>
      <c r="I226" s="63" t="s">
        <v>1584</v>
      </c>
      <c r="J226" s="25" t="s">
        <v>1585</v>
      </c>
      <c r="K226" s="68" t="s">
        <v>79</v>
      </c>
      <c r="L226" s="20" t="s">
        <v>55</v>
      </c>
      <c r="M226" s="118" t="s">
        <v>704</v>
      </c>
      <c r="N226" s="111">
        <v>45503</v>
      </c>
      <c r="O226" s="111"/>
      <c r="P226" s="129" t="str">
        <f>TEXT(Table134[[#This Row],[Implementation Due Date]],"YYYY")</f>
        <v>2024</v>
      </c>
      <c r="Q226" s="130" t="str">
        <f>"Q"&amp;ROUNDUP(MONTH(Table134[[#This Row],[Implementation Due Date]])/3,0)</f>
        <v>Q3</v>
      </c>
      <c r="R226" s="98">
        <v>2024</v>
      </c>
      <c r="S226" s="95" t="s">
        <v>705</v>
      </c>
      <c r="T226" s="94"/>
      <c r="U226" s="125" t="s">
        <v>706</v>
      </c>
      <c r="V226" s="73" t="s">
        <v>707</v>
      </c>
      <c r="W226" s="15" t="s">
        <v>706</v>
      </c>
      <c r="X226" s="15"/>
      <c r="Y226" s="26" t="s">
        <v>1586</v>
      </c>
      <c r="Z226" s="26"/>
    </row>
    <row r="227" spans="1:26" ht="302.39999999999998" x14ac:dyDescent="0.3">
      <c r="A227" s="15">
        <f t="shared" si="3"/>
        <v>224</v>
      </c>
      <c r="B227" s="15" t="s">
        <v>699</v>
      </c>
      <c r="C227" s="15" t="s">
        <v>699</v>
      </c>
      <c r="D227" s="15">
        <v>2023</v>
      </c>
      <c r="E227" s="15"/>
      <c r="F227" s="15" t="s">
        <v>227</v>
      </c>
      <c r="G227" s="15" t="s">
        <v>1050</v>
      </c>
      <c r="H227" s="102" t="s">
        <v>1587</v>
      </c>
      <c r="I227" s="63" t="s">
        <v>1588</v>
      </c>
      <c r="J227" s="25" t="s">
        <v>1589</v>
      </c>
      <c r="K227" s="68" t="s">
        <v>50</v>
      </c>
      <c r="L227" s="20" t="s">
        <v>814</v>
      </c>
      <c r="M227" s="118" t="s">
        <v>1590</v>
      </c>
      <c r="N227" s="111">
        <v>45657</v>
      </c>
      <c r="O227" s="111"/>
      <c r="P227" s="129" t="str">
        <f>TEXT(Table134[[#This Row],[Implementation Due Date]],"YYYY")</f>
        <v>2024</v>
      </c>
      <c r="Q227" s="130" t="str">
        <f>"Q"&amp;ROUNDUP(MONTH(Table134[[#This Row],[Implementation Due Date]])/3,0)</f>
        <v>Q4</v>
      </c>
      <c r="R227" s="98">
        <v>2025</v>
      </c>
      <c r="S227" s="95" t="s">
        <v>890</v>
      </c>
      <c r="T227" s="94"/>
      <c r="U227" s="126" t="s">
        <v>706</v>
      </c>
      <c r="V227" s="73" t="s">
        <v>707</v>
      </c>
      <c r="W227" s="15" t="s">
        <v>706</v>
      </c>
      <c r="X227" s="15"/>
      <c r="Y227" s="26" t="s">
        <v>1591</v>
      </c>
      <c r="Z227" s="26"/>
    </row>
    <row r="228" spans="1:26" ht="409.6" x14ac:dyDescent="0.3">
      <c r="A228" s="15">
        <f t="shared" si="3"/>
        <v>225</v>
      </c>
      <c r="B228" s="15" t="s">
        <v>699</v>
      </c>
      <c r="C228" s="15" t="s">
        <v>699</v>
      </c>
      <c r="D228" s="15">
        <v>2023</v>
      </c>
      <c r="E228" s="15"/>
      <c r="F228" s="15" t="s">
        <v>227</v>
      </c>
      <c r="G228" s="15" t="s">
        <v>1050</v>
      </c>
      <c r="H228" s="102" t="s">
        <v>1592</v>
      </c>
      <c r="I228" s="63" t="s">
        <v>1593</v>
      </c>
      <c r="J228" s="25" t="s">
        <v>1594</v>
      </c>
      <c r="K228" s="68" t="s">
        <v>50</v>
      </c>
      <c r="L228" s="20" t="s">
        <v>55</v>
      </c>
      <c r="M228" s="118" t="s">
        <v>1590</v>
      </c>
      <c r="N228" s="111">
        <v>45657</v>
      </c>
      <c r="O228" s="111"/>
      <c r="P228" s="129" t="str">
        <f>TEXT(Table134[[#This Row],[Implementation Due Date]],"YYYY")</f>
        <v>2024</v>
      </c>
      <c r="Q228" s="130" t="str">
        <f>"Q"&amp;ROUNDUP(MONTH(Table134[[#This Row],[Implementation Due Date]])/3,0)</f>
        <v>Q4</v>
      </c>
      <c r="R228" s="98">
        <v>2025</v>
      </c>
      <c r="S228" s="95" t="s">
        <v>705</v>
      </c>
      <c r="T228" s="94"/>
      <c r="U228" s="126" t="s">
        <v>706</v>
      </c>
      <c r="V228" s="73" t="s">
        <v>707</v>
      </c>
      <c r="W228" s="15" t="s">
        <v>706</v>
      </c>
      <c r="X228" s="15"/>
      <c r="Y228" s="26" t="s">
        <v>1595</v>
      </c>
      <c r="Z228" s="26"/>
    </row>
    <row r="229" spans="1:26" ht="207" x14ac:dyDescent="0.3">
      <c r="A229" s="15">
        <f t="shared" si="3"/>
        <v>226</v>
      </c>
      <c r="B229" s="15" t="s">
        <v>699</v>
      </c>
      <c r="C229" s="15" t="s">
        <v>699</v>
      </c>
      <c r="D229" s="15">
        <v>2023</v>
      </c>
      <c r="E229" s="15"/>
      <c r="F229" s="15" t="s">
        <v>227</v>
      </c>
      <c r="G229" s="15" t="s">
        <v>1050</v>
      </c>
      <c r="H229" s="102" t="s">
        <v>1596</v>
      </c>
      <c r="I229" s="63" t="s">
        <v>1597</v>
      </c>
      <c r="J229" s="25" t="s">
        <v>1598</v>
      </c>
      <c r="K229" s="68" t="s">
        <v>50</v>
      </c>
      <c r="L229" s="20" t="s">
        <v>55</v>
      </c>
      <c r="M229" s="118" t="s">
        <v>1590</v>
      </c>
      <c r="N229" s="111">
        <v>45657</v>
      </c>
      <c r="O229" s="111"/>
      <c r="P229" s="129" t="str">
        <f>TEXT(Table134[[#This Row],[Implementation Due Date]],"YYYY")</f>
        <v>2024</v>
      </c>
      <c r="Q229" s="130" t="str">
        <f>"Q"&amp;ROUNDUP(MONTH(Table134[[#This Row],[Implementation Due Date]])/3,0)</f>
        <v>Q4</v>
      </c>
      <c r="R229" s="98">
        <v>2024</v>
      </c>
      <c r="S229" s="95" t="s">
        <v>705</v>
      </c>
      <c r="T229" s="94"/>
      <c r="U229" s="125" t="s">
        <v>706</v>
      </c>
      <c r="V229" s="73" t="s">
        <v>707</v>
      </c>
      <c r="W229" s="15" t="s">
        <v>706</v>
      </c>
      <c r="X229" s="15"/>
      <c r="Y229" s="26" t="s">
        <v>1599</v>
      </c>
      <c r="Z229" s="26"/>
    </row>
    <row r="230" spans="1:26" ht="100.8" x14ac:dyDescent="0.3">
      <c r="A230" s="15">
        <f t="shared" si="3"/>
        <v>227</v>
      </c>
      <c r="B230" s="15" t="s">
        <v>699</v>
      </c>
      <c r="C230" s="15" t="s">
        <v>699</v>
      </c>
      <c r="D230" s="15">
        <v>2024</v>
      </c>
      <c r="E230" s="15"/>
      <c r="F230" s="15" t="s">
        <v>227</v>
      </c>
      <c r="G230" s="15" t="s">
        <v>1223</v>
      </c>
      <c r="H230" s="102" t="s">
        <v>1600</v>
      </c>
      <c r="I230" s="63" t="s">
        <v>1601</v>
      </c>
      <c r="J230" s="25" t="s">
        <v>1602</v>
      </c>
      <c r="K230" s="68" t="s">
        <v>50</v>
      </c>
      <c r="L230" s="20" t="s">
        <v>844</v>
      </c>
      <c r="M230" s="118" t="s">
        <v>534</v>
      </c>
      <c r="N230" s="111">
        <v>45657</v>
      </c>
      <c r="O230" s="111"/>
      <c r="P230" s="129" t="str">
        <f>TEXT(Table134[[#This Row],[Implementation Due Date]],"YYYY")</f>
        <v>2024</v>
      </c>
      <c r="Q230" s="130" t="str">
        <f>"Q"&amp;ROUNDUP(MONTH(Table134[[#This Row],[Implementation Due Date]])/3,0)</f>
        <v>Q4</v>
      </c>
      <c r="R230" s="98"/>
      <c r="S230" s="95"/>
      <c r="T230" s="94">
        <v>45657</v>
      </c>
      <c r="U230" s="127" t="s">
        <v>845</v>
      </c>
      <c r="V230" s="73">
        <f>$U$2-Table134[[#This Row],[Implementation Due Date]]</f>
        <v>546</v>
      </c>
      <c r="W230" s="15" t="s">
        <v>1513</v>
      </c>
      <c r="X230" s="15"/>
      <c r="Y230" s="26" t="s">
        <v>1603</v>
      </c>
      <c r="Z230" s="26"/>
    </row>
    <row r="231" spans="1:26" ht="129.6" x14ac:dyDescent="0.3">
      <c r="A231" s="15">
        <f t="shared" si="3"/>
        <v>228</v>
      </c>
      <c r="B231" s="15" t="s">
        <v>699</v>
      </c>
      <c r="C231" s="15" t="s">
        <v>699</v>
      </c>
      <c r="D231" s="15">
        <v>2024</v>
      </c>
      <c r="E231" s="15"/>
      <c r="F231" s="15" t="s">
        <v>227</v>
      </c>
      <c r="G231" s="15" t="s">
        <v>1223</v>
      </c>
      <c r="H231" s="102" t="s">
        <v>1604</v>
      </c>
      <c r="I231" s="63" t="s">
        <v>1605</v>
      </c>
      <c r="J231" s="25" t="s">
        <v>1606</v>
      </c>
      <c r="K231" s="68" t="s">
        <v>50</v>
      </c>
      <c r="L231" s="20" t="s">
        <v>844</v>
      </c>
      <c r="M231" s="118" t="s">
        <v>534</v>
      </c>
      <c r="N231" s="111">
        <v>45657</v>
      </c>
      <c r="O231" s="111"/>
      <c r="P231" s="129" t="str">
        <f>TEXT(Table134[[#This Row],[Implementation Due Date]],"YYYY")</f>
        <v>2024</v>
      </c>
      <c r="Q231" s="130" t="str">
        <f>"Q"&amp;ROUNDUP(MONTH(Table134[[#This Row],[Implementation Due Date]])/3,0)</f>
        <v>Q4</v>
      </c>
      <c r="R231" s="98"/>
      <c r="S231" s="95"/>
      <c r="T231" s="94">
        <v>45657</v>
      </c>
      <c r="U231" s="127" t="s">
        <v>845</v>
      </c>
      <c r="V231" s="73">
        <f>$U$2-Table134[[#This Row],[Implementation Due Date]]</f>
        <v>546</v>
      </c>
      <c r="W231" s="15" t="s">
        <v>1513</v>
      </c>
      <c r="X231" s="15"/>
      <c r="Y231" s="26" t="s">
        <v>1603</v>
      </c>
      <c r="Z231" s="26"/>
    </row>
    <row r="232" spans="1:26" ht="110.4" x14ac:dyDescent="0.3">
      <c r="A232" s="15">
        <f t="shared" si="3"/>
        <v>229</v>
      </c>
      <c r="B232" s="15" t="s">
        <v>699</v>
      </c>
      <c r="C232" s="15" t="s">
        <v>699</v>
      </c>
      <c r="D232" s="15">
        <v>2024</v>
      </c>
      <c r="E232" s="15"/>
      <c r="F232" s="15" t="s">
        <v>227</v>
      </c>
      <c r="G232" s="15" t="s">
        <v>1223</v>
      </c>
      <c r="H232" s="102" t="s">
        <v>1607</v>
      </c>
      <c r="I232" s="63" t="s">
        <v>1608</v>
      </c>
      <c r="J232" s="25" t="s">
        <v>1609</v>
      </c>
      <c r="K232" s="68" t="s">
        <v>79</v>
      </c>
      <c r="L232" s="20" t="s">
        <v>844</v>
      </c>
      <c r="M232" s="118" t="s">
        <v>534</v>
      </c>
      <c r="N232" s="111">
        <v>45657</v>
      </c>
      <c r="O232" s="111"/>
      <c r="P232" s="129" t="str">
        <f>TEXT(Table134[[#This Row],[Implementation Due Date]],"YYYY")</f>
        <v>2024</v>
      </c>
      <c r="Q232" s="130" t="str">
        <f>"Q"&amp;ROUNDUP(MONTH(Table134[[#This Row],[Implementation Due Date]])/3,0)</f>
        <v>Q4</v>
      </c>
      <c r="R232" s="98"/>
      <c r="S232" s="95"/>
      <c r="T232" s="94">
        <v>45657</v>
      </c>
      <c r="U232" s="127" t="s">
        <v>845</v>
      </c>
      <c r="V232" s="73">
        <f>$U$2-Table134[[#This Row],[Implementation Due Date]]</f>
        <v>546</v>
      </c>
      <c r="W232" s="15" t="s">
        <v>1513</v>
      </c>
      <c r="X232" s="15"/>
      <c r="Y232" s="26" t="s">
        <v>1610</v>
      </c>
      <c r="Z232" s="26"/>
    </row>
    <row r="233" spans="1:26" ht="129.6" x14ac:dyDescent="0.3">
      <c r="A233" s="15">
        <f t="shared" si="3"/>
        <v>230</v>
      </c>
      <c r="B233" s="15" t="s">
        <v>699</v>
      </c>
      <c r="C233" s="15" t="s">
        <v>699</v>
      </c>
      <c r="D233" s="15">
        <v>2024</v>
      </c>
      <c r="E233" s="15"/>
      <c r="F233" s="15" t="s">
        <v>227</v>
      </c>
      <c r="G233" s="15" t="s">
        <v>1223</v>
      </c>
      <c r="H233" s="102" t="s">
        <v>1611</v>
      </c>
      <c r="I233" s="63" t="s">
        <v>1612</v>
      </c>
      <c r="J233" s="25" t="s">
        <v>1613</v>
      </c>
      <c r="K233" s="68" t="s">
        <v>79</v>
      </c>
      <c r="L233" s="20" t="s">
        <v>55</v>
      </c>
      <c r="M233" s="118" t="s">
        <v>534</v>
      </c>
      <c r="N233" s="111">
        <v>45657</v>
      </c>
      <c r="O233" s="111"/>
      <c r="P233" s="129" t="str">
        <f>TEXT(Table134[[#This Row],[Implementation Due Date]],"YYYY")</f>
        <v>2024</v>
      </c>
      <c r="Q233" s="130" t="str">
        <f>"Q"&amp;ROUNDUP(MONTH(Table134[[#This Row],[Implementation Due Date]])/3,0)</f>
        <v>Q4</v>
      </c>
      <c r="R233" s="98">
        <v>2025</v>
      </c>
      <c r="S233" s="95" t="s">
        <v>890</v>
      </c>
      <c r="T233" s="94"/>
      <c r="U233" s="126" t="s">
        <v>706</v>
      </c>
      <c r="V233" s="73" t="s">
        <v>707</v>
      </c>
      <c r="W233" s="15" t="s">
        <v>706</v>
      </c>
      <c r="X233" s="15"/>
      <c r="Y233" s="26" t="s">
        <v>1614</v>
      </c>
      <c r="Z233" s="26"/>
    </row>
    <row r="234" spans="1:26" ht="220.8" x14ac:dyDescent="0.3">
      <c r="A234" s="15">
        <f t="shared" si="3"/>
        <v>231</v>
      </c>
      <c r="B234" s="15" t="s">
        <v>699</v>
      </c>
      <c r="C234" s="15" t="s">
        <v>699</v>
      </c>
      <c r="D234" s="15">
        <v>2024</v>
      </c>
      <c r="E234" s="15"/>
      <c r="F234" s="15" t="s">
        <v>158</v>
      </c>
      <c r="G234" s="15" t="s">
        <v>158</v>
      </c>
      <c r="H234" s="102" t="s">
        <v>1615</v>
      </c>
      <c r="I234" s="63" t="s">
        <v>1616</v>
      </c>
      <c r="J234" s="25" t="s">
        <v>1617</v>
      </c>
      <c r="K234" s="68" t="s">
        <v>50</v>
      </c>
      <c r="L234" s="20" t="s">
        <v>26</v>
      </c>
      <c r="M234" s="118" t="s">
        <v>798</v>
      </c>
      <c r="N234" s="111">
        <v>45747</v>
      </c>
      <c r="O234" s="111"/>
      <c r="P234" s="129" t="str">
        <f>TEXT(Table134[[#This Row],[Implementation Due Date]],"YYYY")</f>
        <v>2025</v>
      </c>
      <c r="Q234" s="130" t="str">
        <f>"Q"&amp;ROUNDUP(MONTH(Table134[[#This Row],[Implementation Due Date]])/3,0)</f>
        <v>Q1</v>
      </c>
      <c r="R234" s="98">
        <v>2025</v>
      </c>
      <c r="S234" s="95" t="s">
        <v>705</v>
      </c>
      <c r="T234" s="94"/>
      <c r="U234" s="126" t="s">
        <v>706</v>
      </c>
      <c r="V234" s="73" t="s">
        <v>707</v>
      </c>
      <c r="W234" s="15" t="s">
        <v>706</v>
      </c>
      <c r="X234" s="15"/>
      <c r="Y234" s="26" t="s">
        <v>1618</v>
      </c>
      <c r="Z234" s="26"/>
    </row>
    <row r="235" spans="1:26" ht="193.2" x14ac:dyDescent="0.3">
      <c r="A235" s="15">
        <f t="shared" si="3"/>
        <v>232</v>
      </c>
      <c r="B235" s="15" t="s">
        <v>699</v>
      </c>
      <c r="C235" s="15" t="s">
        <v>699</v>
      </c>
      <c r="D235" s="15">
        <v>2024</v>
      </c>
      <c r="E235" s="15"/>
      <c r="F235" s="15" t="s">
        <v>158</v>
      </c>
      <c r="G235" s="15" t="s">
        <v>158</v>
      </c>
      <c r="H235" s="102" t="s">
        <v>1619</v>
      </c>
      <c r="I235" s="63" t="s">
        <v>1620</v>
      </c>
      <c r="J235" s="25" t="s">
        <v>1621</v>
      </c>
      <c r="K235" s="68" t="s">
        <v>50</v>
      </c>
      <c r="L235" s="20" t="s">
        <v>26</v>
      </c>
      <c r="M235" s="118" t="s">
        <v>798</v>
      </c>
      <c r="N235" s="111">
        <v>45747</v>
      </c>
      <c r="O235" s="111"/>
      <c r="P235" s="129" t="str">
        <f>TEXT(Table134[[#This Row],[Implementation Due Date]],"YYYY")</f>
        <v>2025</v>
      </c>
      <c r="Q235" s="130" t="str">
        <f>"Q"&amp;ROUNDUP(MONTH(Table134[[#This Row],[Implementation Due Date]])/3,0)</f>
        <v>Q1</v>
      </c>
      <c r="R235" s="98"/>
      <c r="S235" s="95"/>
      <c r="T235" s="94">
        <v>45747</v>
      </c>
      <c r="U235" s="127" t="s">
        <v>845</v>
      </c>
      <c r="V235" s="73">
        <f>$U$2-Table134[[#This Row],[Implementation Due Date]]</f>
        <v>456</v>
      </c>
      <c r="W235" s="15" t="s">
        <v>1513</v>
      </c>
      <c r="X235" s="15"/>
      <c r="Y235" s="26" t="s">
        <v>1622</v>
      </c>
      <c r="Z235" s="26"/>
    </row>
    <row r="236" spans="1:26" ht="302.39999999999998" x14ac:dyDescent="0.3">
      <c r="A236" s="15">
        <f t="shared" si="3"/>
        <v>233</v>
      </c>
      <c r="B236" s="15" t="s">
        <v>699</v>
      </c>
      <c r="C236" s="15" t="s">
        <v>699</v>
      </c>
      <c r="D236" s="15">
        <v>2024</v>
      </c>
      <c r="E236" s="15"/>
      <c r="F236" s="15" t="s">
        <v>158</v>
      </c>
      <c r="G236" s="15" t="s">
        <v>158</v>
      </c>
      <c r="H236" s="102" t="s">
        <v>1623</v>
      </c>
      <c r="I236" s="63" t="s">
        <v>1624</v>
      </c>
      <c r="J236" s="25" t="s">
        <v>1625</v>
      </c>
      <c r="K236" s="68" t="s">
        <v>50</v>
      </c>
      <c r="L236" s="20" t="s">
        <v>37</v>
      </c>
      <c r="M236" s="118" t="s">
        <v>798</v>
      </c>
      <c r="N236" s="111">
        <v>45747</v>
      </c>
      <c r="O236" s="111"/>
      <c r="P236" s="129" t="str">
        <f>TEXT(Table134[[#This Row],[Implementation Due Date]],"YYYY")</f>
        <v>2025</v>
      </c>
      <c r="Q236" s="130" t="str">
        <f>"Q"&amp;ROUNDUP(MONTH(Table134[[#This Row],[Implementation Due Date]])/3,0)</f>
        <v>Q1</v>
      </c>
      <c r="R236" s="98"/>
      <c r="S236" s="95"/>
      <c r="T236" s="94">
        <v>45747</v>
      </c>
      <c r="U236" s="127" t="s">
        <v>845</v>
      </c>
      <c r="V236" s="73">
        <f>$U$2-Table134[[#This Row],[Implementation Due Date]]</f>
        <v>456</v>
      </c>
      <c r="W236" s="15" t="s">
        <v>1513</v>
      </c>
      <c r="X236" s="15"/>
      <c r="Y236" s="26" t="s">
        <v>1626</v>
      </c>
      <c r="Z236" s="26"/>
    </row>
    <row r="237" spans="1:26" ht="158.4" x14ac:dyDescent="0.3">
      <c r="A237" s="15">
        <f t="shared" si="3"/>
        <v>234</v>
      </c>
      <c r="B237" s="15" t="s">
        <v>699</v>
      </c>
      <c r="C237" s="15" t="s">
        <v>699</v>
      </c>
      <c r="D237" s="15">
        <v>2024</v>
      </c>
      <c r="E237" s="15"/>
      <c r="F237" s="15" t="s">
        <v>158</v>
      </c>
      <c r="G237" s="15" t="s">
        <v>158</v>
      </c>
      <c r="H237" s="102" t="s">
        <v>1627</v>
      </c>
      <c r="I237" s="63" t="s">
        <v>1628</v>
      </c>
      <c r="J237" s="25" t="s">
        <v>1629</v>
      </c>
      <c r="K237" s="68" t="s">
        <v>50</v>
      </c>
      <c r="L237" s="20" t="s">
        <v>814</v>
      </c>
      <c r="M237" s="118" t="s">
        <v>798</v>
      </c>
      <c r="N237" s="111">
        <v>45747</v>
      </c>
      <c r="O237" s="111"/>
      <c r="P237" s="129" t="str">
        <f>TEXT(Table134[[#This Row],[Implementation Due Date]],"YYYY")</f>
        <v>2025</v>
      </c>
      <c r="Q237" s="130" t="str">
        <f>"Q"&amp;ROUNDUP(MONTH(Table134[[#This Row],[Implementation Due Date]])/3,0)</f>
        <v>Q1</v>
      </c>
      <c r="R237" s="98"/>
      <c r="S237" s="95"/>
      <c r="T237" s="94">
        <v>45747</v>
      </c>
      <c r="U237" s="127" t="s">
        <v>845</v>
      </c>
      <c r="V237" s="73">
        <f>$U$2-Table134[[#This Row],[Implementation Due Date]]</f>
        <v>456</v>
      </c>
      <c r="W237" s="15" t="s">
        <v>1513</v>
      </c>
      <c r="X237" s="15"/>
      <c r="Y237" s="26" t="s">
        <v>1630</v>
      </c>
      <c r="Z237" s="26"/>
    </row>
    <row r="238" spans="1:26" ht="124.2" x14ac:dyDescent="0.3">
      <c r="A238" s="15">
        <f t="shared" si="3"/>
        <v>235</v>
      </c>
      <c r="B238" s="15" t="s">
        <v>699</v>
      </c>
      <c r="C238" s="15" t="s">
        <v>699</v>
      </c>
      <c r="D238" s="15">
        <v>2024</v>
      </c>
      <c r="E238" s="15"/>
      <c r="F238" s="15" t="s">
        <v>158</v>
      </c>
      <c r="G238" s="15" t="s">
        <v>158</v>
      </c>
      <c r="H238" s="102" t="s">
        <v>1631</v>
      </c>
      <c r="I238" s="63" t="s">
        <v>1632</v>
      </c>
      <c r="J238" s="25" t="s">
        <v>1633</v>
      </c>
      <c r="K238" s="68" t="s">
        <v>79</v>
      </c>
      <c r="L238" s="20" t="s">
        <v>55</v>
      </c>
      <c r="M238" s="118" t="s">
        <v>798</v>
      </c>
      <c r="N238" s="111">
        <v>45747</v>
      </c>
      <c r="O238" s="111"/>
      <c r="P238" s="129" t="str">
        <f>TEXT(Table134[[#This Row],[Implementation Due Date]],"YYYY")</f>
        <v>2025</v>
      </c>
      <c r="Q238" s="130" t="str">
        <f>"Q"&amp;ROUNDUP(MONTH(Table134[[#This Row],[Implementation Due Date]])/3,0)</f>
        <v>Q1</v>
      </c>
      <c r="R238" s="98">
        <v>2026</v>
      </c>
      <c r="S238" s="95" t="s">
        <v>799</v>
      </c>
      <c r="T238" s="94">
        <v>45747</v>
      </c>
      <c r="U238" s="126" t="s">
        <v>706</v>
      </c>
      <c r="V238" s="73" t="s">
        <v>707</v>
      </c>
      <c r="W238" s="15" t="s">
        <v>706</v>
      </c>
      <c r="X238" s="15"/>
      <c r="Y238" s="26" t="s">
        <v>1634</v>
      </c>
      <c r="Z238" s="26"/>
    </row>
    <row r="239" spans="1:26" ht="158.4" x14ac:dyDescent="0.3">
      <c r="A239" s="15">
        <f t="shared" si="3"/>
        <v>236</v>
      </c>
      <c r="B239" s="15" t="s">
        <v>699</v>
      </c>
      <c r="C239" s="15" t="s">
        <v>699</v>
      </c>
      <c r="D239" s="15">
        <v>2024</v>
      </c>
      <c r="E239" s="15"/>
      <c r="F239" s="15" t="s">
        <v>158</v>
      </c>
      <c r="G239" s="15" t="s">
        <v>158</v>
      </c>
      <c r="H239" s="102" t="s">
        <v>1635</v>
      </c>
      <c r="I239" s="63" t="s">
        <v>1636</v>
      </c>
      <c r="J239" s="25" t="s">
        <v>1637</v>
      </c>
      <c r="K239" s="68" t="s">
        <v>79</v>
      </c>
      <c r="L239" s="20" t="s">
        <v>26</v>
      </c>
      <c r="M239" s="118" t="s">
        <v>798</v>
      </c>
      <c r="N239" s="111">
        <v>45747</v>
      </c>
      <c r="O239" s="111"/>
      <c r="P239" s="129" t="str">
        <f>TEXT(Table134[[#This Row],[Implementation Due Date]],"YYYY")</f>
        <v>2025</v>
      </c>
      <c r="Q239" s="130" t="str">
        <f>"Q"&amp;ROUNDUP(MONTH(Table134[[#This Row],[Implementation Due Date]])/3,0)</f>
        <v>Q1</v>
      </c>
      <c r="R239" s="98"/>
      <c r="S239" s="95"/>
      <c r="T239" s="94">
        <v>45747</v>
      </c>
      <c r="U239" s="127" t="s">
        <v>845</v>
      </c>
      <c r="V239" s="73">
        <f>$U$2-Table134[[#This Row],[Implementation Due Date]]</f>
        <v>456</v>
      </c>
      <c r="W239" s="15" t="s">
        <v>1513</v>
      </c>
      <c r="X239" s="15"/>
      <c r="Y239" s="26" t="s">
        <v>1638</v>
      </c>
      <c r="Z239" s="26"/>
    </row>
    <row r="240" spans="1:26" ht="144" x14ac:dyDescent="0.3">
      <c r="A240" s="15">
        <f t="shared" si="3"/>
        <v>237</v>
      </c>
      <c r="B240" s="15" t="s">
        <v>699</v>
      </c>
      <c r="C240" s="15" t="s">
        <v>699</v>
      </c>
      <c r="D240" s="15">
        <v>2024</v>
      </c>
      <c r="E240" s="15"/>
      <c r="F240" s="15" t="s">
        <v>1049</v>
      </c>
      <c r="G240" s="15" t="s">
        <v>1639</v>
      </c>
      <c r="H240" s="102" t="s">
        <v>1640</v>
      </c>
      <c r="I240" s="63" t="s">
        <v>1641</v>
      </c>
      <c r="J240" s="25" t="s">
        <v>1642</v>
      </c>
      <c r="K240" s="68" t="s">
        <v>50</v>
      </c>
      <c r="L240" s="20" t="s">
        <v>37</v>
      </c>
      <c r="M240" s="118" t="s">
        <v>1530</v>
      </c>
      <c r="N240" s="111">
        <v>45838</v>
      </c>
      <c r="O240" s="111"/>
      <c r="P240" s="129" t="str">
        <f>TEXT(Table134[[#This Row],[Implementation Due Date]],"YYYY")</f>
        <v>2025</v>
      </c>
      <c r="Q240" s="130" t="str">
        <f>"Q"&amp;ROUNDUP(MONTH(Table134[[#This Row],[Implementation Due Date]])/3,0)</f>
        <v>Q2</v>
      </c>
      <c r="R240" s="98"/>
      <c r="S240" s="95"/>
      <c r="T240" s="94">
        <v>46022</v>
      </c>
      <c r="U240" s="127" t="s">
        <v>845</v>
      </c>
      <c r="V240" s="73">
        <f>$U$2-Table134[[#This Row],[Implementation Due Date]]</f>
        <v>365</v>
      </c>
      <c r="W240" s="15" t="s">
        <v>1643</v>
      </c>
      <c r="X240" s="15"/>
      <c r="Y240" s="26" t="s">
        <v>1644</v>
      </c>
      <c r="Z240" s="26"/>
    </row>
    <row r="241" spans="1:26" ht="124.2" x14ac:dyDescent="0.3">
      <c r="A241" s="15">
        <f t="shared" si="3"/>
        <v>238</v>
      </c>
      <c r="B241" s="15" t="s">
        <v>699</v>
      </c>
      <c r="C241" s="15" t="s">
        <v>699</v>
      </c>
      <c r="D241" s="15">
        <v>2024</v>
      </c>
      <c r="E241" s="15"/>
      <c r="F241" s="15" t="s">
        <v>1049</v>
      </c>
      <c r="G241" s="15" t="s">
        <v>1639</v>
      </c>
      <c r="H241" s="102" t="s">
        <v>1645</v>
      </c>
      <c r="I241" s="63" t="s">
        <v>1646</v>
      </c>
      <c r="J241" s="25" t="s">
        <v>1647</v>
      </c>
      <c r="K241" s="68" t="s">
        <v>50</v>
      </c>
      <c r="L241" s="20" t="s">
        <v>55</v>
      </c>
      <c r="M241" s="118" t="s">
        <v>1530</v>
      </c>
      <c r="N241" s="111">
        <v>45838</v>
      </c>
      <c r="O241" s="111"/>
      <c r="P241" s="129" t="str">
        <f>TEXT(Table134[[#This Row],[Implementation Due Date]],"YYYY")</f>
        <v>2025</v>
      </c>
      <c r="Q241" s="130" t="str">
        <f>"Q"&amp;ROUNDUP(MONTH(Table134[[#This Row],[Implementation Due Date]])/3,0)</f>
        <v>Q2</v>
      </c>
      <c r="R241" s="98">
        <v>2025</v>
      </c>
      <c r="S241" s="95" t="s">
        <v>711</v>
      </c>
      <c r="T241" s="94"/>
      <c r="U241" s="125" t="s">
        <v>706</v>
      </c>
      <c r="V241" s="73" t="s">
        <v>707</v>
      </c>
      <c r="W241" s="15" t="s">
        <v>706</v>
      </c>
      <c r="X241" s="15"/>
      <c r="Y241" s="26" t="s">
        <v>1648</v>
      </c>
      <c r="Z241" s="26"/>
    </row>
    <row r="242" spans="1:26" ht="138" x14ac:dyDescent="0.3">
      <c r="A242" s="15">
        <f t="shared" si="3"/>
        <v>239</v>
      </c>
      <c r="B242" s="15" t="s">
        <v>699</v>
      </c>
      <c r="C242" s="15" t="s">
        <v>699</v>
      </c>
      <c r="D242" s="15">
        <v>2024</v>
      </c>
      <c r="E242" s="15"/>
      <c r="F242" s="15" t="s">
        <v>1049</v>
      </c>
      <c r="G242" s="15" t="s">
        <v>1639</v>
      </c>
      <c r="H242" s="102" t="s">
        <v>1649</v>
      </c>
      <c r="I242" s="63" t="s">
        <v>1650</v>
      </c>
      <c r="J242" s="25" t="s">
        <v>1651</v>
      </c>
      <c r="K242" s="68" t="s">
        <v>50</v>
      </c>
      <c r="L242" s="20" t="s">
        <v>55</v>
      </c>
      <c r="M242" s="118" t="s">
        <v>1530</v>
      </c>
      <c r="N242" s="111">
        <v>45838</v>
      </c>
      <c r="O242" s="111"/>
      <c r="P242" s="129" t="str">
        <f>TEXT(Table134[[#This Row],[Implementation Due Date]],"YYYY")</f>
        <v>2025</v>
      </c>
      <c r="Q242" s="130" t="str">
        <f>"Q"&amp;ROUNDUP(MONTH(Table134[[#This Row],[Implementation Due Date]])/3,0)</f>
        <v>Q2</v>
      </c>
      <c r="R242" s="98">
        <v>2025</v>
      </c>
      <c r="S242" s="95" t="s">
        <v>711</v>
      </c>
      <c r="T242" s="94"/>
      <c r="U242" s="125" t="s">
        <v>706</v>
      </c>
      <c r="V242" s="73" t="s">
        <v>707</v>
      </c>
      <c r="W242" s="15" t="s">
        <v>706</v>
      </c>
      <c r="X242" s="15"/>
      <c r="Y242" s="26" t="s">
        <v>1652</v>
      </c>
      <c r="Z242" s="26"/>
    </row>
    <row r="243" spans="1:26" ht="220.8" x14ac:dyDescent="0.3">
      <c r="A243" s="15">
        <f t="shared" ref="A243:A306" si="4">ROW(A243)-3</f>
        <v>240</v>
      </c>
      <c r="B243" s="15" t="s">
        <v>699</v>
      </c>
      <c r="C243" s="15" t="s">
        <v>699</v>
      </c>
      <c r="D243" s="15">
        <v>2024</v>
      </c>
      <c r="E243" s="15"/>
      <c r="F243" s="15" t="s">
        <v>1049</v>
      </c>
      <c r="G243" s="15" t="s">
        <v>1639</v>
      </c>
      <c r="H243" s="102" t="s">
        <v>1653</v>
      </c>
      <c r="I243" s="63" t="s">
        <v>1654</v>
      </c>
      <c r="J243" s="25" t="s">
        <v>1655</v>
      </c>
      <c r="K243" s="68" t="s">
        <v>50</v>
      </c>
      <c r="L243" s="20" t="s">
        <v>55</v>
      </c>
      <c r="M243" s="118" t="s">
        <v>1530</v>
      </c>
      <c r="N243" s="111">
        <v>45838</v>
      </c>
      <c r="O243" s="111"/>
      <c r="P243" s="129" t="str">
        <f>TEXT(Table134[[#This Row],[Implementation Due Date]],"YYYY")</f>
        <v>2025</v>
      </c>
      <c r="Q243" s="130" t="str">
        <f>"Q"&amp;ROUNDUP(MONTH(Table134[[#This Row],[Implementation Due Date]])/3,0)</f>
        <v>Q2</v>
      </c>
      <c r="R243" s="98">
        <v>2025</v>
      </c>
      <c r="S243" s="95" t="s">
        <v>890</v>
      </c>
      <c r="T243" s="94"/>
      <c r="U243" s="126" t="s">
        <v>706</v>
      </c>
      <c r="V243" s="73" t="s">
        <v>707</v>
      </c>
      <c r="W243" s="15" t="s">
        <v>706</v>
      </c>
      <c r="X243" s="15"/>
      <c r="Y243" s="26" t="s">
        <v>1656</v>
      </c>
      <c r="Z243" s="26"/>
    </row>
    <row r="244" spans="1:26" ht="187.2" x14ac:dyDescent="0.3">
      <c r="A244" s="15">
        <f t="shared" si="4"/>
        <v>241</v>
      </c>
      <c r="B244" s="15" t="s">
        <v>699</v>
      </c>
      <c r="C244" s="15" t="s">
        <v>699</v>
      </c>
      <c r="D244" s="15">
        <v>2024</v>
      </c>
      <c r="E244" s="15"/>
      <c r="F244" s="15" t="s">
        <v>1049</v>
      </c>
      <c r="G244" s="15" t="s">
        <v>1639</v>
      </c>
      <c r="H244" s="102" t="s">
        <v>1553</v>
      </c>
      <c r="I244" s="63" t="s">
        <v>1657</v>
      </c>
      <c r="J244" s="25" t="s">
        <v>1658</v>
      </c>
      <c r="K244" s="68" t="s">
        <v>50</v>
      </c>
      <c r="L244" s="20" t="s">
        <v>55</v>
      </c>
      <c r="M244" s="118" t="s">
        <v>1530</v>
      </c>
      <c r="N244" s="111">
        <v>45838</v>
      </c>
      <c r="O244" s="111"/>
      <c r="P244" s="129" t="str">
        <f>TEXT(Table134[[#This Row],[Implementation Due Date]],"YYYY")</f>
        <v>2025</v>
      </c>
      <c r="Q244" s="130" t="str">
        <f>"Q"&amp;ROUNDUP(MONTH(Table134[[#This Row],[Implementation Due Date]])/3,0)</f>
        <v>Q2</v>
      </c>
      <c r="R244" s="98">
        <v>2025</v>
      </c>
      <c r="S244" s="95" t="s">
        <v>890</v>
      </c>
      <c r="T244" s="94"/>
      <c r="U244" s="126" t="s">
        <v>706</v>
      </c>
      <c r="V244" s="73" t="s">
        <v>707</v>
      </c>
      <c r="W244" s="15" t="s">
        <v>706</v>
      </c>
      <c r="X244" s="15"/>
      <c r="Y244" s="26" t="s">
        <v>1659</v>
      </c>
      <c r="Z244" s="26"/>
    </row>
    <row r="245" spans="1:26" ht="230.4" x14ac:dyDescent="0.3">
      <c r="A245" s="15">
        <f t="shared" si="4"/>
        <v>242</v>
      </c>
      <c r="B245" s="15" t="s">
        <v>699</v>
      </c>
      <c r="C245" s="15" t="s">
        <v>699</v>
      </c>
      <c r="D245" s="15">
        <v>2024</v>
      </c>
      <c r="E245" s="15"/>
      <c r="F245" s="15" t="s">
        <v>1049</v>
      </c>
      <c r="G245" s="15" t="s">
        <v>1639</v>
      </c>
      <c r="H245" s="102" t="s">
        <v>1660</v>
      </c>
      <c r="I245" s="63" t="s">
        <v>1661</v>
      </c>
      <c r="J245" s="25" t="s">
        <v>1662</v>
      </c>
      <c r="K245" s="68" t="s">
        <v>79</v>
      </c>
      <c r="L245" s="20" t="s">
        <v>55</v>
      </c>
      <c r="M245" s="118" t="s">
        <v>1530</v>
      </c>
      <c r="N245" s="111">
        <v>45930</v>
      </c>
      <c r="O245" s="111"/>
      <c r="P245" s="129" t="str">
        <f>TEXT(Table134[[#This Row],[Implementation Due Date]],"YYYY")</f>
        <v>2025</v>
      </c>
      <c r="Q245" s="130" t="str">
        <f>"Q"&amp;ROUNDUP(MONTH(Table134[[#This Row],[Implementation Due Date]])/3,0)</f>
        <v>Q3</v>
      </c>
      <c r="R245" s="98">
        <v>2025</v>
      </c>
      <c r="S245" s="95" t="s">
        <v>711</v>
      </c>
      <c r="T245" s="94"/>
      <c r="U245" s="125" t="s">
        <v>706</v>
      </c>
      <c r="V245" s="73" t="s">
        <v>707</v>
      </c>
      <c r="W245" s="15" t="s">
        <v>706</v>
      </c>
      <c r="X245" s="15"/>
      <c r="Y245" s="26" t="s">
        <v>1663</v>
      </c>
      <c r="Z245" s="26"/>
    </row>
    <row r="246" spans="1:26" ht="331.2" x14ac:dyDescent="0.3">
      <c r="A246" s="15">
        <f t="shared" si="4"/>
        <v>243</v>
      </c>
      <c r="B246" s="15" t="s">
        <v>699</v>
      </c>
      <c r="C246" s="15" t="s">
        <v>699</v>
      </c>
      <c r="D246" s="15">
        <v>2024</v>
      </c>
      <c r="E246" s="15"/>
      <c r="F246" s="15" t="s">
        <v>1049</v>
      </c>
      <c r="G246" s="15" t="s">
        <v>1639</v>
      </c>
      <c r="H246" s="102" t="s">
        <v>1664</v>
      </c>
      <c r="I246" s="63" t="s">
        <v>1665</v>
      </c>
      <c r="J246" s="25" t="s">
        <v>1666</v>
      </c>
      <c r="K246" s="68" t="s">
        <v>79</v>
      </c>
      <c r="L246" s="20" t="s">
        <v>55</v>
      </c>
      <c r="M246" s="118" t="s">
        <v>1530</v>
      </c>
      <c r="N246" s="111">
        <v>45838</v>
      </c>
      <c r="O246" s="111"/>
      <c r="P246" s="129" t="str">
        <f>TEXT(Table134[[#This Row],[Implementation Due Date]],"YYYY")</f>
        <v>2025</v>
      </c>
      <c r="Q246" s="130" t="str">
        <f>"Q"&amp;ROUNDUP(MONTH(Table134[[#This Row],[Implementation Due Date]])/3,0)</f>
        <v>Q2</v>
      </c>
      <c r="R246" s="98"/>
      <c r="S246" s="95"/>
      <c r="T246" s="94">
        <v>46022</v>
      </c>
      <c r="U246" s="127" t="s">
        <v>845</v>
      </c>
      <c r="V246" s="73">
        <f>$U$2-Table134[[#This Row],[Implementation Due Date]]</f>
        <v>365</v>
      </c>
      <c r="W246" s="15" t="s">
        <v>1643</v>
      </c>
      <c r="X246" s="15"/>
      <c r="Y246" s="26" t="s">
        <v>1667</v>
      </c>
      <c r="Z246" s="26"/>
    </row>
    <row r="247" spans="1:26" ht="409.6" x14ac:dyDescent="0.3">
      <c r="A247" s="15">
        <f t="shared" si="4"/>
        <v>244</v>
      </c>
      <c r="B247" s="15" t="s">
        <v>699</v>
      </c>
      <c r="C247" s="15" t="s">
        <v>699</v>
      </c>
      <c r="D247" s="15">
        <v>2024</v>
      </c>
      <c r="E247" s="15"/>
      <c r="F247" s="15" t="s">
        <v>294</v>
      </c>
      <c r="G247" s="15" t="s">
        <v>294</v>
      </c>
      <c r="H247" s="102" t="s">
        <v>1668</v>
      </c>
      <c r="I247" s="63" t="s">
        <v>1669</v>
      </c>
      <c r="J247" s="25" t="s">
        <v>1670</v>
      </c>
      <c r="K247" s="68" t="s">
        <v>50</v>
      </c>
      <c r="L247" s="20" t="s">
        <v>26</v>
      </c>
      <c r="M247" s="118" t="s">
        <v>652</v>
      </c>
      <c r="N247" s="111">
        <v>46022</v>
      </c>
      <c r="O247" s="111"/>
      <c r="P247" s="129" t="str">
        <f>TEXT(Table134[[#This Row],[Implementation Due Date]],"YYYY")</f>
        <v>2025</v>
      </c>
      <c r="Q247" s="130" t="str">
        <f>"Q"&amp;ROUNDUP(MONTH(Table134[[#This Row],[Implementation Due Date]])/3,0)</f>
        <v>Q4</v>
      </c>
      <c r="R247" s="98"/>
      <c r="S247" s="95"/>
      <c r="T247" s="94">
        <v>46022</v>
      </c>
      <c r="U247" s="127" t="s">
        <v>845</v>
      </c>
      <c r="V247" s="73">
        <f>$U$2-Table134[[#This Row],[Implementation Due Date]]</f>
        <v>181</v>
      </c>
      <c r="W247" s="15" t="s">
        <v>1671</v>
      </c>
      <c r="X247" s="15"/>
      <c r="Y247" s="26" t="s">
        <v>1672</v>
      </c>
      <c r="Z247" s="26"/>
    </row>
    <row r="248" spans="1:26" ht="187.2" x14ac:dyDescent="0.3">
      <c r="A248" s="15">
        <f t="shared" si="4"/>
        <v>245</v>
      </c>
      <c r="B248" s="15" t="s">
        <v>699</v>
      </c>
      <c r="C248" s="15" t="s">
        <v>699</v>
      </c>
      <c r="D248" s="15">
        <v>2024</v>
      </c>
      <c r="E248" s="15"/>
      <c r="F248" s="15" t="s">
        <v>294</v>
      </c>
      <c r="G248" s="15" t="s">
        <v>294</v>
      </c>
      <c r="H248" s="102" t="s">
        <v>1673</v>
      </c>
      <c r="I248" s="63" t="s">
        <v>1674</v>
      </c>
      <c r="J248" s="25" t="s">
        <v>1675</v>
      </c>
      <c r="K248" s="68" t="s">
        <v>50</v>
      </c>
      <c r="L248" s="20" t="s">
        <v>26</v>
      </c>
      <c r="M248" s="118" t="s">
        <v>652</v>
      </c>
      <c r="N248" s="111">
        <v>46022</v>
      </c>
      <c r="O248" s="111"/>
      <c r="P248" s="129" t="str">
        <f>TEXT(Table134[[#This Row],[Implementation Due Date]],"YYYY")</f>
        <v>2025</v>
      </c>
      <c r="Q248" s="130" t="str">
        <f>"Q"&amp;ROUNDUP(MONTH(Table134[[#This Row],[Implementation Due Date]])/3,0)</f>
        <v>Q4</v>
      </c>
      <c r="R248" s="98"/>
      <c r="S248" s="95"/>
      <c r="T248" s="94">
        <v>46022</v>
      </c>
      <c r="U248" s="127" t="s">
        <v>845</v>
      </c>
      <c r="V248" s="73">
        <f>$U$2-Table134[[#This Row],[Implementation Due Date]]</f>
        <v>181</v>
      </c>
      <c r="W248" s="15" t="s">
        <v>1671</v>
      </c>
      <c r="X248" s="15"/>
      <c r="Y248" s="26" t="s">
        <v>1676</v>
      </c>
      <c r="Z248" s="26"/>
    </row>
    <row r="249" spans="1:26" ht="259.2" x14ac:dyDescent="0.3">
      <c r="A249" s="15">
        <f t="shared" si="4"/>
        <v>246</v>
      </c>
      <c r="B249" s="15" t="s">
        <v>699</v>
      </c>
      <c r="C249" s="15" t="s">
        <v>699</v>
      </c>
      <c r="D249" s="15">
        <v>2024</v>
      </c>
      <c r="E249" s="15"/>
      <c r="F249" s="15" t="s">
        <v>294</v>
      </c>
      <c r="G249" s="15" t="s">
        <v>294</v>
      </c>
      <c r="H249" s="102" t="s">
        <v>1677</v>
      </c>
      <c r="I249" s="63" t="s">
        <v>1678</v>
      </c>
      <c r="J249" s="25" t="s">
        <v>1679</v>
      </c>
      <c r="K249" s="68" t="s">
        <v>50</v>
      </c>
      <c r="L249" s="20" t="s">
        <v>26</v>
      </c>
      <c r="M249" s="118" t="s">
        <v>652</v>
      </c>
      <c r="N249" s="111">
        <v>46022</v>
      </c>
      <c r="O249" s="111"/>
      <c r="P249" s="129" t="str">
        <f>TEXT(Table134[[#This Row],[Implementation Due Date]],"YYYY")</f>
        <v>2025</v>
      </c>
      <c r="Q249" s="130" t="str">
        <f>"Q"&amp;ROUNDUP(MONTH(Table134[[#This Row],[Implementation Due Date]])/3,0)</f>
        <v>Q4</v>
      </c>
      <c r="R249" s="98"/>
      <c r="S249" s="95"/>
      <c r="T249" s="94">
        <v>46022</v>
      </c>
      <c r="U249" s="127" t="s">
        <v>845</v>
      </c>
      <c r="V249" s="73">
        <f>$U$2-Table134[[#This Row],[Implementation Due Date]]</f>
        <v>181</v>
      </c>
      <c r="W249" s="15" t="s">
        <v>1671</v>
      </c>
      <c r="X249" s="15"/>
      <c r="Y249" s="26" t="s">
        <v>1680</v>
      </c>
      <c r="Z249" s="26"/>
    </row>
    <row r="250" spans="1:26" ht="244.8" x14ac:dyDescent="0.3">
      <c r="A250" s="15">
        <f t="shared" si="4"/>
        <v>247</v>
      </c>
      <c r="B250" s="15" t="s">
        <v>699</v>
      </c>
      <c r="C250" s="15" t="s">
        <v>699</v>
      </c>
      <c r="D250" s="15">
        <v>2024</v>
      </c>
      <c r="E250" s="15"/>
      <c r="F250" s="15" t="s">
        <v>294</v>
      </c>
      <c r="G250" s="15" t="s">
        <v>294</v>
      </c>
      <c r="H250" s="102" t="s">
        <v>1681</v>
      </c>
      <c r="I250" s="63" t="s">
        <v>1682</v>
      </c>
      <c r="J250" s="25" t="s">
        <v>1683</v>
      </c>
      <c r="K250" s="68" t="s">
        <v>50</v>
      </c>
      <c r="L250" s="20" t="s">
        <v>316</v>
      </c>
      <c r="M250" s="118" t="s">
        <v>652</v>
      </c>
      <c r="N250" s="111">
        <v>46022</v>
      </c>
      <c r="O250" s="111"/>
      <c r="P250" s="129" t="str">
        <f>TEXT(Table134[[#This Row],[Implementation Due Date]],"YYYY")</f>
        <v>2025</v>
      </c>
      <c r="Q250" s="130" t="str">
        <f>"Q"&amp;ROUNDUP(MONTH(Table134[[#This Row],[Implementation Due Date]])/3,0)</f>
        <v>Q4</v>
      </c>
      <c r="R250" s="98"/>
      <c r="S250" s="95"/>
      <c r="T250" s="94">
        <v>46022</v>
      </c>
      <c r="U250" s="127" t="s">
        <v>845</v>
      </c>
      <c r="V250" s="73">
        <f>$U$2-Table134[[#This Row],[Implementation Due Date]]</f>
        <v>181</v>
      </c>
      <c r="W250" s="15" t="s">
        <v>1671</v>
      </c>
      <c r="X250" s="15"/>
      <c r="Y250" s="26" t="s">
        <v>1684</v>
      </c>
      <c r="Z250" s="26"/>
    </row>
    <row r="251" spans="1:26" ht="86.4" x14ac:dyDescent="0.3">
      <c r="A251" s="15">
        <f t="shared" si="4"/>
        <v>248</v>
      </c>
      <c r="B251" s="15" t="s">
        <v>699</v>
      </c>
      <c r="C251" s="15" t="s">
        <v>699</v>
      </c>
      <c r="D251" s="15">
        <v>2024</v>
      </c>
      <c r="E251" s="15"/>
      <c r="F251" s="15" t="s">
        <v>294</v>
      </c>
      <c r="G251" s="15" t="s">
        <v>294</v>
      </c>
      <c r="H251" s="102" t="s">
        <v>1685</v>
      </c>
      <c r="I251" s="63" t="s">
        <v>1686</v>
      </c>
      <c r="J251" s="25" t="s">
        <v>1687</v>
      </c>
      <c r="K251" s="68" t="s">
        <v>50</v>
      </c>
      <c r="L251" s="20" t="s">
        <v>814</v>
      </c>
      <c r="M251" s="118" t="s">
        <v>652</v>
      </c>
      <c r="N251" s="111">
        <v>46022</v>
      </c>
      <c r="O251" s="111"/>
      <c r="P251" s="129" t="str">
        <f>TEXT(Table134[[#This Row],[Implementation Due Date]],"YYYY")</f>
        <v>2025</v>
      </c>
      <c r="Q251" s="130" t="str">
        <f>"Q"&amp;ROUNDUP(MONTH(Table134[[#This Row],[Implementation Due Date]])/3,0)</f>
        <v>Q4</v>
      </c>
      <c r="R251" s="98"/>
      <c r="S251" s="95"/>
      <c r="T251" s="94">
        <v>46022</v>
      </c>
      <c r="U251" s="127" t="s">
        <v>845</v>
      </c>
      <c r="V251" s="73">
        <f>$U$2-Table134[[#This Row],[Implementation Due Date]]</f>
        <v>181</v>
      </c>
      <c r="W251" s="15" t="s">
        <v>1671</v>
      </c>
      <c r="X251" s="15"/>
      <c r="Y251" s="26" t="s">
        <v>1688</v>
      </c>
      <c r="Z251" s="26"/>
    </row>
    <row r="252" spans="1:26" ht="288" x14ac:dyDescent="0.3">
      <c r="A252" s="15">
        <f t="shared" si="4"/>
        <v>249</v>
      </c>
      <c r="B252" s="15" t="s">
        <v>699</v>
      </c>
      <c r="C252" s="15" t="s">
        <v>699</v>
      </c>
      <c r="D252" s="15">
        <v>2024</v>
      </c>
      <c r="E252" s="15"/>
      <c r="F252" s="15" t="s">
        <v>294</v>
      </c>
      <c r="G252" s="15" t="s">
        <v>294</v>
      </c>
      <c r="H252" s="102" t="s">
        <v>1689</v>
      </c>
      <c r="I252" s="63" t="s">
        <v>1690</v>
      </c>
      <c r="J252" s="25" t="s">
        <v>1691</v>
      </c>
      <c r="K252" s="68" t="s">
        <v>50</v>
      </c>
      <c r="L252" s="20" t="s">
        <v>316</v>
      </c>
      <c r="M252" s="118" t="s">
        <v>652</v>
      </c>
      <c r="N252" s="111">
        <v>46022</v>
      </c>
      <c r="O252" s="111"/>
      <c r="P252" s="129" t="str">
        <f>TEXT(Table134[[#This Row],[Implementation Due Date]],"YYYY")</f>
        <v>2025</v>
      </c>
      <c r="Q252" s="130" t="str">
        <f>"Q"&amp;ROUNDUP(MONTH(Table134[[#This Row],[Implementation Due Date]])/3,0)</f>
        <v>Q4</v>
      </c>
      <c r="R252" s="98"/>
      <c r="S252" s="95"/>
      <c r="T252" s="94">
        <v>46022</v>
      </c>
      <c r="U252" s="127" t="s">
        <v>845</v>
      </c>
      <c r="V252" s="73">
        <f>$U$2-Table134[[#This Row],[Implementation Due Date]]</f>
        <v>181</v>
      </c>
      <c r="W252" s="15" t="s">
        <v>1671</v>
      </c>
      <c r="X252" s="15"/>
      <c r="Y252" s="26" t="s">
        <v>1692</v>
      </c>
      <c r="Z252" s="26"/>
    </row>
    <row r="253" spans="1:26" ht="244.8" x14ac:dyDescent="0.3">
      <c r="A253" s="15">
        <f t="shared" si="4"/>
        <v>250</v>
      </c>
      <c r="B253" s="15" t="s">
        <v>699</v>
      </c>
      <c r="C253" s="15" t="s">
        <v>699</v>
      </c>
      <c r="D253" s="15">
        <v>2024</v>
      </c>
      <c r="E253" s="15"/>
      <c r="F253" s="15" t="s">
        <v>294</v>
      </c>
      <c r="G253" s="15" t="s">
        <v>294</v>
      </c>
      <c r="H253" s="102" t="s">
        <v>1693</v>
      </c>
      <c r="I253" s="63" t="s">
        <v>1694</v>
      </c>
      <c r="J253" s="25" t="s">
        <v>1695</v>
      </c>
      <c r="K253" s="68" t="s">
        <v>50</v>
      </c>
      <c r="L253" s="20" t="s">
        <v>316</v>
      </c>
      <c r="M253" s="118" t="s">
        <v>652</v>
      </c>
      <c r="N253" s="111">
        <v>45930</v>
      </c>
      <c r="O253" s="111"/>
      <c r="P253" s="129" t="str">
        <f>TEXT(Table134[[#This Row],[Implementation Due Date]],"YYYY")</f>
        <v>2025</v>
      </c>
      <c r="Q253" s="130" t="str">
        <f>"Q"&amp;ROUNDUP(MONTH(Table134[[#This Row],[Implementation Due Date]])/3,0)</f>
        <v>Q3</v>
      </c>
      <c r="R253" s="98"/>
      <c r="S253" s="95"/>
      <c r="T253" s="94">
        <v>45930</v>
      </c>
      <c r="U253" s="127" t="s">
        <v>845</v>
      </c>
      <c r="V253" s="73">
        <f>$U$2-Table134[[#This Row],[Implementation Due Date]]</f>
        <v>273</v>
      </c>
      <c r="W253" s="15" t="s">
        <v>1643</v>
      </c>
      <c r="X253" s="15"/>
      <c r="Y253" s="26" t="s">
        <v>1696</v>
      </c>
      <c r="Z253" s="26"/>
    </row>
    <row r="254" spans="1:26" ht="187.2" x14ac:dyDescent="0.3">
      <c r="A254" s="15">
        <f t="shared" si="4"/>
        <v>251</v>
      </c>
      <c r="B254" s="15" t="s">
        <v>699</v>
      </c>
      <c r="C254" s="15" t="s">
        <v>699</v>
      </c>
      <c r="D254" s="15">
        <v>2024</v>
      </c>
      <c r="E254" s="15"/>
      <c r="F254" s="15" t="s">
        <v>294</v>
      </c>
      <c r="G254" s="15" t="s">
        <v>294</v>
      </c>
      <c r="H254" s="102" t="s">
        <v>1697</v>
      </c>
      <c r="I254" s="63" t="s">
        <v>1698</v>
      </c>
      <c r="J254" s="25" t="s">
        <v>1699</v>
      </c>
      <c r="K254" s="68" t="s">
        <v>50</v>
      </c>
      <c r="L254" s="20" t="s">
        <v>26</v>
      </c>
      <c r="M254" s="118" t="s">
        <v>652</v>
      </c>
      <c r="N254" s="111">
        <v>45930</v>
      </c>
      <c r="O254" s="111"/>
      <c r="P254" s="129" t="str">
        <f>TEXT(Table134[[#This Row],[Implementation Due Date]],"YYYY")</f>
        <v>2025</v>
      </c>
      <c r="Q254" s="130" t="str">
        <f>"Q"&amp;ROUNDUP(MONTH(Table134[[#This Row],[Implementation Due Date]])/3,0)</f>
        <v>Q3</v>
      </c>
      <c r="R254" s="98"/>
      <c r="S254" s="95"/>
      <c r="T254" s="94">
        <v>45930</v>
      </c>
      <c r="U254" s="127" t="s">
        <v>845</v>
      </c>
      <c r="V254" s="73">
        <f>$U$2-Table134[[#This Row],[Implementation Due Date]]</f>
        <v>273</v>
      </c>
      <c r="W254" s="15" t="s">
        <v>1643</v>
      </c>
      <c r="X254" s="15"/>
      <c r="Y254" s="26" t="s">
        <v>1700</v>
      </c>
      <c r="Z254" s="26"/>
    </row>
    <row r="255" spans="1:26" ht="273.60000000000002" x14ac:dyDescent="0.3">
      <c r="A255" s="15">
        <f t="shared" si="4"/>
        <v>252</v>
      </c>
      <c r="B255" s="15" t="s">
        <v>699</v>
      </c>
      <c r="C255" s="15" t="s">
        <v>699</v>
      </c>
      <c r="D255" s="15">
        <v>2024</v>
      </c>
      <c r="E255" s="15"/>
      <c r="F255" s="15" t="s">
        <v>294</v>
      </c>
      <c r="G255" s="15" t="s">
        <v>294</v>
      </c>
      <c r="H255" s="102" t="s">
        <v>1701</v>
      </c>
      <c r="I255" s="63" t="s">
        <v>1702</v>
      </c>
      <c r="J255" s="25" t="s">
        <v>1703</v>
      </c>
      <c r="K255" s="68" t="s">
        <v>50</v>
      </c>
      <c r="L255" s="20" t="s">
        <v>26</v>
      </c>
      <c r="M255" s="118" t="s">
        <v>652</v>
      </c>
      <c r="N255" s="111">
        <v>46022</v>
      </c>
      <c r="O255" s="111"/>
      <c r="P255" s="129" t="str">
        <f>TEXT(Table134[[#This Row],[Implementation Due Date]],"YYYY")</f>
        <v>2025</v>
      </c>
      <c r="Q255" s="130" t="str">
        <f>"Q"&amp;ROUNDUP(MONTH(Table134[[#This Row],[Implementation Due Date]])/3,0)</f>
        <v>Q4</v>
      </c>
      <c r="R255" s="98"/>
      <c r="S255" s="95"/>
      <c r="T255" s="94">
        <v>46022</v>
      </c>
      <c r="U255" s="127" t="s">
        <v>845</v>
      </c>
      <c r="V255" s="73">
        <f>$U$2-Table134[[#This Row],[Implementation Due Date]]</f>
        <v>181</v>
      </c>
      <c r="W255" s="15" t="s">
        <v>1671</v>
      </c>
      <c r="X255" s="15"/>
      <c r="Y255" s="26" t="s">
        <v>1704</v>
      </c>
      <c r="Z255" s="26"/>
    </row>
    <row r="256" spans="1:26" ht="409.6" x14ac:dyDescent="0.3">
      <c r="A256" s="15">
        <f t="shared" si="4"/>
        <v>253</v>
      </c>
      <c r="B256" s="15" t="s">
        <v>699</v>
      </c>
      <c r="C256" s="15" t="s">
        <v>699</v>
      </c>
      <c r="D256" s="15">
        <v>2024</v>
      </c>
      <c r="E256" s="15"/>
      <c r="F256" s="15" t="s">
        <v>294</v>
      </c>
      <c r="G256" s="15" t="s">
        <v>294</v>
      </c>
      <c r="H256" s="102" t="s">
        <v>1705</v>
      </c>
      <c r="I256" s="63" t="s">
        <v>1706</v>
      </c>
      <c r="J256" s="25" t="s">
        <v>1707</v>
      </c>
      <c r="K256" s="68" t="s">
        <v>50</v>
      </c>
      <c r="L256" s="20" t="s">
        <v>316</v>
      </c>
      <c r="M256" s="118" t="s">
        <v>652</v>
      </c>
      <c r="N256" s="111">
        <v>46022</v>
      </c>
      <c r="O256" s="111"/>
      <c r="P256" s="129" t="str">
        <f>TEXT(Table134[[#This Row],[Implementation Due Date]],"YYYY")</f>
        <v>2025</v>
      </c>
      <c r="Q256" s="130" t="str">
        <f>"Q"&amp;ROUNDUP(MONTH(Table134[[#This Row],[Implementation Due Date]])/3,0)</f>
        <v>Q4</v>
      </c>
      <c r="R256" s="98"/>
      <c r="S256" s="95"/>
      <c r="T256" s="94">
        <v>46022</v>
      </c>
      <c r="U256" s="127" t="s">
        <v>845</v>
      </c>
      <c r="V256" s="73">
        <f>$U$2-Table134[[#This Row],[Implementation Due Date]]</f>
        <v>181</v>
      </c>
      <c r="W256" s="15" t="s">
        <v>1671</v>
      </c>
      <c r="X256" s="15"/>
      <c r="Y256" s="26" t="s">
        <v>1708</v>
      </c>
      <c r="Z256" s="26"/>
    </row>
    <row r="257" spans="1:26" ht="374.4" x14ac:dyDescent="0.3">
      <c r="A257" s="15">
        <f t="shared" si="4"/>
        <v>254</v>
      </c>
      <c r="B257" s="15" t="s">
        <v>699</v>
      </c>
      <c r="C257" s="15" t="s">
        <v>699</v>
      </c>
      <c r="D257" s="15">
        <v>2024</v>
      </c>
      <c r="E257" s="15"/>
      <c r="F257" s="15" t="s">
        <v>294</v>
      </c>
      <c r="G257" s="15" t="s">
        <v>294</v>
      </c>
      <c r="H257" s="102" t="s">
        <v>1709</v>
      </c>
      <c r="I257" s="63" t="s">
        <v>1710</v>
      </c>
      <c r="J257" s="25" t="s">
        <v>1711</v>
      </c>
      <c r="K257" s="68" t="s">
        <v>50</v>
      </c>
      <c r="L257" s="20" t="s">
        <v>316</v>
      </c>
      <c r="M257" s="118" t="s">
        <v>652</v>
      </c>
      <c r="N257" s="111">
        <v>46022</v>
      </c>
      <c r="O257" s="111"/>
      <c r="P257" s="129" t="str">
        <f>TEXT(Table134[[#This Row],[Implementation Due Date]],"YYYY")</f>
        <v>2025</v>
      </c>
      <c r="Q257" s="130" t="str">
        <f>"Q"&amp;ROUNDUP(MONTH(Table134[[#This Row],[Implementation Due Date]])/3,0)</f>
        <v>Q4</v>
      </c>
      <c r="R257" s="98"/>
      <c r="S257" s="95"/>
      <c r="T257" s="94">
        <v>46022</v>
      </c>
      <c r="U257" s="127" t="s">
        <v>845</v>
      </c>
      <c r="V257" s="73">
        <f>$U$2-Table134[[#This Row],[Implementation Due Date]]</f>
        <v>181</v>
      </c>
      <c r="W257" s="15" t="s">
        <v>1671</v>
      </c>
      <c r="X257" s="15"/>
      <c r="Y257" s="26" t="s">
        <v>1712</v>
      </c>
      <c r="Z257" s="26"/>
    </row>
    <row r="258" spans="1:26" ht="316.8" x14ac:dyDescent="0.3">
      <c r="A258" s="15">
        <f t="shared" si="4"/>
        <v>255</v>
      </c>
      <c r="B258" s="15" t="s">
        <v>699</v>
      </c>
      <c r="C258" s="15" t="s">
        <v>699</v>
      </c>
      <c r="D258" s="15">
        <v>2024</v>
      </c>
      <c r="E258" s="15"/>
      <c r="F258" s="15" t="s">
        <v>294</v>
      </c>
      <c r="G258" s="15" t="s">
        <v>294</v>
      </c>
      <c r="H258" s="102" t="s">
        <v>1713</v>
      </c>
      <c r="I258" s="63" t="s">
        <v>1714</v>
      </c>
      <c r="J258" s="25" t="s">
        <v>1715</v>
      </c>
      <c r="K258" s="68" t="s">
        <v>50</v>
      </c>
      <c r="L258" s="20" t="s">
        <v>26</v>
      </c>
      <c r="M258" s="118" t="s">
        <v>652</v>
      </c>
      <c r="N258" s="111">
        <v>46022</v>
      </c>
      <c r="O258" s="111"/>
      <c r="P258" s="129" t="str">
        <f>TEXT(Table134[[#This Row],[Implementation Due Date]],"YYYY")</f>
        <v>2025</v>
      </c>
      <c r="Q258" s="130" t="str">
        <f>"Q"&amp;ROUNDUP(MONTH(Table134[[#This Row],[Implementation Due Date]])/3,0)</f>
        <v>Q4</v>
      </c>
      <c r="R258" s="98"/>
      <c r="S258" s="95"/>
      <c r="T258" s="94">
        <v>46022</v>
      </c>
      <c r="U258" s="127" t="s">
        <v>845</v>
      </c>
      <c r="V258" s="73">
        <f>$U$2-Table134[[#This Row],[Implementation Due Date]]</f>
        <v>181</v>
      </c>
      <c r="W258" s="15" t="s">
        <v>1671</v>
      </c>
      <c r="X258" s="15"/>
      <c r="Y258" s="26" t="s">
        <v>1716</v>
      </c>
      <c r="Z258" s="26"/>
    </row>
    <row r="259" spans="1:26" ht="289.8" x14ac:dyDescent="0.3">
      <c r="A259" s="15">
        <f t="shared" si="4"/>
        <v>256</v>
      </c>
      <c r="B259" s="15" t="s">
        <v>699</v>
      </c>
      <c r="C259" s="15" t="s">
        <v>699</v>
      </c>
      <c r="D259" s="15">
        <v>2024</v>
      </c>
      <c r="E259" s="15"/>
      <c r="F259" s="15" t="s">
        <v>294</v>
      </c>
      <c r="G259" s="15" t="s">
        <v>294</v>
      </c>
      <c r="H259" s="102" t="s">
        <v>1717</v>
      </c>
      <c r="I259" s="63" t="s">
        <v>1718</v>
      </c>
      <c r="J259" s="25" t="s">
        <v>1719</v>
      </c>
      <c r="K259" s="68" t="s">
        <v>50</v>
      </c>
      <c r="L259" s="20" t="s">
        <v>844</v>
      </c>
      <c r="M259" s="118" t="s">
        <v>652</v>
      </c>
      <c r="N259" s="111">
        <v>46022</v>
      </c>
      <c r="O259" s="111"/>
      <c r="P259" s="129" t="str">
        <f>TEXT(Table134[[#This Row],[Implementation Due Date]],"YYYY")</f>
        <v>2025</v>
      </c>
      <c r="Q259" s="130" t="str">
        <f>"Q"&amp;ROUNDUP(MONTH(Table134[[#This Row],[Implementation Due Date]])/3,0)</f>
        <v>Q4</v>
      </c>
      <c r="R259" s="98"/>
      <c r="S259" s="95"/>
      <c r="T259" s="94">
        <v>46022</v>
      </c>
      <c r="U259" s="127" t="s">
        <v>845</v>
      </c>
      <c r="V259" s="73">
        <f>$U$2-Table134[[#This Row],[Implementation Due Date]]</f>
        <v>181</v>
      </c>
      <c r="W259" s="15" t="s">
        <v>1671</v>
      </c>
      <c r="X259" s="15"/>
      <c r="Y259" s="26" t="s">
        <v>1720</v>
      </c>
      <c r="Z259" s="26"/>
    </row>
    <row r="260" spans="1:26" ht="273.60000000000002" x14ac:dyDescent="0.3">
      <c r="A260" s="15">
        <f t="shared" si="4"/>
        <v>257</v>
      </c>
      <c r="B260" s="15" t="s">
        <v>699</v>
      </c>
      <c r="C260" s="15" t="s">
        <v>699</v>
      </c>
      <c r="D260" s="15">
        <v>2024</v>
      </c>
      <c r="E260" s="15"/>
      <c r="F260" s="15" t="s">
        <v>294</v>
      </c>
      <c r="G260" s="15" t="s">
        <v>294</v>
      </c>
      <c r="H260" s="102" t="s">
        <v>1721</v>
      </c>
      <c r="I260" s="63" t="s">
        <v>1722</v>
      </c>
      <c r="J260" s="25" t="s">
        <v>1723</v>
      </c>
      <c r="K260" s="68" t="s">
        <v>50</v>
      </c>
      <c r="L260" s="20" t="s">
        <v>316</v>
      </c>
      <c r="M260" s="118" t="s">
        <v>652</v>
      </c>
      <c r="N260" s="111">
        <v>46022</v>
      </c>
      <c r="O260" s="111"/>
      <c r="P260" s="129" t="str">
        <f>TEXT(Table134[[#This Row],[Implementation Due Date]],"YYYY")</f>
        <v>2025</v>
      </c>
      <c r="Q260" s="130" t="str">
        <f>"Q"&amp;ROUNDUP(MONTH(Table134[[#This Row],[Implementation Due Date]])/3,0)</f>
        <v>Q4</v>
      </c>
      <c r="R260" s="98"/>
      <c r="S260" s="95"/>
      <c r="T260" s="94">
        <v>46022</v>
      </c>
      <c r="U260" s="127" t="s">
        <v>845</v>
      </c>
      <c r="V260" s="73">
        <f>$U$2-Table134[[#This Row],[Implementation Due Date]]</f>
        <v>181</v>
      </c>
      <c r="W260" s="15" t="s">
        <v>1671</v>
      </c>
      <c r="X260" s="15"/>
      <c r="Y260" s="26" t="s">
        <v>1724</v>
      </c>
      <c r="Z260" s="26"/>
    </row>
    <row r="261" spans="1:26" ht="193.2" x14ac:dyDescent="0.3">
      <c r="A261" s="15">
        <f t="shared" si="4"/>
        <v>258</v>
      </c>
      <c r="B261" s="15" t="s">
        <v>699</v>
      </c>
      <c r="C261" s="15" t="s">
        <v>699</v>
      </c>
      <c r="D261" s="15">
        <v>2024</v>
      </c>
      <c r="E261" s="15"/>
      <c r="F261" s="15" t="s">
        <v>294</v>
      </c>
      <c r="G261" s="15" t="s">
        <v>294</v>
      </c>
      <c r="H261" s="102" t="s">
        <v>1725</v>
      </c>
      <c r="I261" s="63" t="s">
        <v>1726</v>
      </c>
      <c r="J261" s="25" t="s">
        <v>1727</v>
      </c>
      <c r="K261" s="68" t="s">
        <v>50</v>
      </c>
      <c r="L261" s="20" t="s">
        <v>316</v>
      </c>
      <c r="M261" s="118" t="s">
        <v>652</v>
      </c>
      <c r="N261" s="111">
        <v>46022</v>
      </c>
      <c r="O261" s="111"/>
      <c r="P261" s="129" t="str">
        <f>TEXT(Table134[[#This Row],[Implementation Due Date]],"YYYY")</f>
        <v>2025</v>
      </c>
      <c r="Q261" s="130" t="str">
        <f>"Q"&amp;ROUNDUP(MONTH(Table134[[#This Row],[Implementation Due Date]])/3,0)</f>
        <v>Q4</v>
      </c>
      <c r="R261" s="98"/>
      <c r="S261" s="95"/>
      <c r="T261" s="94">
        <v>46022</v>
      </c>
      <c r="U261" s="127" t="s">
        <v>845</v>
      </c>
      <c r="V261" s="73">
        <f>$U$2-Table134[[#This Row],[Implementation Due Date]]</f>
        <v>181</v>
      </c>
      <c r="W261" s="15" t="s">
        <v>1671</v>
      </c>
      <c r="X261" s="15"/>
      <c r="Y261" s="26" t="s">
        <v>1728</v>
      </c>
      <c r="Z261" s="26"/>
    </row>
    <row r="262" spans="1:26" ht="172.8" x14ac:dyDescent="0.3">
      <c r="A262" s="15">
        <f t="shared" si="4"/>
        <v>259</v>
      </c>
      <c r="B262" s="15" t="s">
        <v>699</v>
      </c>
      <c r="C262" s="15" t="s">
        <v>699</v>
      </c>
      <c r="D262" s="15">
        <v>2024</v>
      </c>
      <c r="E262" s="15"/>
      <c r="F262" s="15" t="s">
        <v>294</v>
      </c>
      <c r="G262" s="15" t="s">
        <v>294</v>
      </c>
      <c r="H262" s="102" t="s">
        <v>1729</v>
      </c>
      <c r="I262" s="63" t="s">
        <v>1730</v>
      </c>
      <c r="J262" s="25" t="s">
        <v>1731</v>
      </c>
      <c r="K262" s="68" t="s">
        <v>50</v>
      </c>
      <c r="L262" s="20" t="s">
        <v>316</v>
      </c>
      <c r="M262" s="118" t="s">
        <v>652</v>
      </c>
      <c r="N262" s="111">
        <v>45991</v>
      </c>
      <c r="O262" s="111"/>
      <c r="P262" s="129" t="str">
        <f>TEXT(Table134[[#This Row],[Implementation Due Date]],"YYYY")</f>
        <v>2025</v>
      </c>
      <c r="Q262" s="130" t="str">
        <f>"Q"&amp;ROUNDUP(MONTH(Table134[[#This Row],[Implementation Due Date]])/3,0)</f>
        <v>Q4</v>
      </c>
      <c r="R262" s="98"/>
      <c r="S262" s="95"/>
      <c r="T262" s="94">
        <v>45991</v>
      </c>
      <c r="U262" s="127" t="s">
        <v>845</v>
      </c>
      <c r="V262" s="73">
        <f>$U$2-Table134[[#This Row],[Implementation Due Date]]</f>
        <v>212</v>
      </c>
      <c r="W262" s="15" t="s">
        <v>1643</v>
      </c>
      <c r="X262" s="15"/>
      <c r="Y262" s="26" t="s">
        <v>1732</v>
      </c>
      <c r="Z262" s="26"/>
    </row>
    <row r="263" spans="1:26" ht="302.39999999999998" x14ac:dyDescent="0.3">
      <c r="A263" s="15">
        <f t="shared" si="4"/>
        <v>260</v>
      </c>
      <c r="B263" s="15" t="s">
        <v>699</v>
      </c>
      <c r="C263" s="15" t="s">
        <v>699</v>
      </c>
      <c r="D263" s="15">
        <v>2024</v>
      </c>
      <c r="E263" s="15"/>
      <c r="F263" s="15" t="s">
        <v>294</v>
      </c>
      <c r="G263" s="15" t="s">
        <v>294</v>
      </c>
      <c r="H263" s="102" t="s">
        <v>1733</v>
      </c>
      <c r="I263" s="63" t="s">
        <v>1734</v>
      </c>
      <c r="J263" s="25" t="s">
        <v>1735</v>
      </c>
      <c r="K263" s="69" t="s">
        <v>79</v>
      </c>
      <c r="L263" s="20" t="s">
        <v>26</v>
      </c>
      <c r="M263" s="118" t="s">
        <v>652</v>
      </c>
      <c r="N263" s="111">
        <v>45930</v>
      </c>
      <c r="O263" s="111"/>
      <c r="P263" s="129" t="str">
        <f>TEXT(Table134[[#This Row],[Implementation Due Date]],"YYYY")</f>
        <v>2025</v>
      </c>
      <c r="Q263" s="130" t="str">
        <f>"Q"&amp;ROUNDUP(MONTH(Table134[[#This Row],[Implementation Due Date]])/3,0)</f>
        <v>Q3</v>
      </c>
      <c r="R263" s="98"/>
      <c r="S263" s="95"/>
      <c r="T263" s="94">
        <v>45930</v>
      </c>
      <c r="U263" s="127" t="s">
        <v>845</v>
      </c>
      <c r="V263" s="73">
        <f>$U$2-Table134[[#This Row],[Implementation Due Date]]</f>
        <v>273</v>
      </c>
      <c r="W263" s="15" t="s">
        <v>1643</v>
      </c>
      <c r="X263" s="15"/>
      <c r="Y263" s="26" t="s">
        <v>1736</v>
      </c>
      <c r="Z263" s="26"/>
    </row>
    <row r="264" spans="1:26" ht="172.8" x14ac:dyDescent="0.3">
      <c r="A264" s="15">
        <f t="shared" si="4"/>
        <v>261</v>
      </c>
      <c r="B264" s="15" t="s">
        <v>699</v>
      </c>
      <c r="C264" s="15" t="s">
        <v>699</v>
      </c>
      <c r="D264" s="15">
        <v>2024</v>
      </c>
      <c r="E264" s="15"/>
      <c r="F264" s="15" t="s">
        <v>294</v>
      </c>
      <c r="G264" s="15" t="s">
        <v>294</v>
      </c>
      <c r="H264" s="102" t="s">
        <v>1737</v>
      </c>
      <c r="I264" s="63" t="s">
        <v>1738</v>
      </c>
      <c r="J264" s="25" t="s">
        <v>1739</v>
      </c>
      <c r="K264" s="69" t="s">
        <v>79</v>
      </c>
      <c r="L264" s="20" t="s">
        <v>814</v>
      </c>
      <c r="M264" s="118" t="s">
        <v>652</v>
      </c>
      <c r="N264" s="111">
        <v>45930</v>
      </c>
      <c r="O264" s="111"/>
      <c r="P264" s="129" t="str">
        <f>TEXT(Table134[[#This Row],[Implementation Due Date]],"YYYY")</f>
        <v>2025</v>
      </c>
      <c r="Q264" s="130" t="str">
        <f>"Q"&amp;ROUNDUP(MONTH(Table134[[#This Row],[Implementation Due Date]])/3,0)</f>
        <v>Q3</v>
      </c>
      <c r="R264" s="98"/>
      <c r="S264" s="95"/>
      <c r="T264" s="94">
        <v>45930</v>
      </c>
      <c r="U264" s="127" t="s">
        <v>845</v>
      </c>
      <c r="V264" s="73">
        <f>$U$2-Table134[[#This Row],[Implementation Due Date]]</f>
        <v>273</v>
      </c>
      <c r="W264" s="15" t="s">
        <v>1643</v>
      </c>
      <c r="X264" s="15"/>
      <c r="Y264" s="26" t="s">
        <v>1740</v>
      </c>
      <c r="Z264" s="26"/>
    </row>
    <row r="265" spans="1:26" ht="187.2" x14ac:dyDescent="0.3">
      <c r="A265" s="15">
        <f t="shared" si="4"/>
        <v>262</v>
      </c>
      <c r="B265" s="15" t="s">
        <v>699</v>
      </c>
      <c r="C265" s="15" t="s">
        <v>699</v>
      </c>
      <c r="D265" s="15">
        <v>2024</v>
      </c>
      <c r="E265" s="15"/>
      <c r="F265" s="15" t="s">
        <v>294</v>
      </c>
      <c r="G265" s="15" t="s">
        <v>294</v>
      </c>
      <c r="H265" s="102" t="s">
        <v>1741</v>
      </c>
      <c r="I265" s="63" t="s">
        <v>1742</v>
      </c>
      <c r="J265" s="25" t="s">
        <v>1743</v>
      </c>
      <c r="K265" s="69" t="s">
        <v>79</v>
      </c>
      <c r="L265" s="20" t="s">
        <v>26</v>
      </c>
      <c r="M265" s="118" t="s">
        <v>652</v>
      </c>
      <c r="N265" s="111">
        <v>45930</v>
      </c>
      <c r="O265" s="111"/>
      <c r="P265" s="129" t="str">
        <f>TEXT(Table134[[#This Row],[Implementation Due Date]],"YYYY")</f>
        <v>2025</v>
      </c>
      <c r="Q265" s="130" t="str">
        <f>"Q"&amp;ROUNDUP(MONTH(Table134[[#This Row],[Implementation Due Date]])/3,0)</f>
        <v>Q3</v>
      </c>
      <c r="R265" s="98"/>
      <c r="S265" s="95"/>
      <c r="T265" s="94">
        <v>45930</v>
      </c>
      <c r="U265" s="127" t="s">
        <v>845</v>
      </c>
      <c r="V265" s="73">
        <f>$U$2-Table134[[#This Row],[Implementation Due Date]]</f>
        <v>273</v>
      </c>
      <c r="W265" s="15" t="s">
        <v>1643</v>
      </c>
      <c r="X265" s="15"/>
      <c r="Y265" s="26" t="s">
        <v>1744</v>
      </c>
      <c r="Z265" s="26"/>
    </row>
    <row r="266" spans="1:26" ht="144" x14ac:dyDescent="0.3">
      <c r="A266" s="15">
        <f t="shared" si="4"/>
        <v>263</v>
      </c>
      <c r="B266" s="15" t="s">
        <v>699</v>
      </c>
      <c r="C266" s="15" t="s">
        <v>699</v>
      </c>
      <c r="D266" s="15">
        <v>2024</v>
      </c>
      <c r="E266" s="15"/>
      <c r="F266" s="15" t="s">
        <v>294</v>
      </c>
      <c r="G266" s="15" t="s">
        <v>294</v>
      </c>
      <c r="H266" s="102" t="s">
        <v>1745</v>
      </c>
      <c r="I266" s="65" t="s">
        <v>1746</v>
      </c>
      <c r="J266" s="25" t="s">
        <v>1747</v>
      </c>
      <c r="K266" s="69" t="s">
        <v>79</v>
      </c>
      <c r="L266" s="20" t="s">
        <v>26</v>
      </c>
      <c r="M266" s="118" t="s">
        <v>652</v>
      </c>
      <c r="N266" s="111">
        <v>46022</v>
      </c>
      <c r="O266" s="111"/>
      <c r="P266" s="129" t="str">
        <f>TEXT(Table134[[#This Row],[Implementation Due Date]],"YYYY")</f>
        <v>2025</v>
      </c>
      <c r="Q266" s="130" t="str">
        <f>"Q"&amp;ROUNDUP(MONTH(Table134[[#This Row],[Implementation Due Date]])/3,0)</f>
        <v>Q4</v>
      </c>
      <c r="R266" s="98"/>
      <c r="S266" s="95"/>
      <c r="T266" s="94">
        <v>46022</v>
      </c>
      <c r="U266" s="127" t="s">
        <v>845</v>
      </c>
      <c r="V266" s="73">
        <f>$U$2-Table134[[#This Row],[Implementation Due Date]]</f>
        <v>181</v>
      </c>
      <c r="W266" s="15" t="s">
        <v>1671</v>
      </c>
      <c r="X266" s="15"/>
      <c r="Y266" s="26" t="s">
        <v>1748</v>
      </c>
      <c r="Z266" s="26"/>
    </row>
    <row r="267" spans="1:26" ht="172.8" x14ac:dyDescent="0.3">
      <c r="A267" s="15">
        <f t="shared" si="4"/>
        <v>264</v>
      </c>
      <c r="B267" s="15" t="s">
        <v>699</v>
      </c>
      <c r="C267" s="15" t="s">
        <v>699</v>
      </c>
      <c r="D267" s="15">
        <v>2024</v>
      </c>
      <c r="E267" s="15"/>
      <c r="F267" s="15" t="s">
        <v>294</v>
      </c>
      <c r="G267" s="15" t="s">
        <v>294</v>
      </c>
      <c r="H267" s="102" t="s">
        <v>1749</v>
      </c>
      <c r="I267" s="65" t="s">
        <v>1750</v>
      </c>
      <c r="J267" s="25" t="s">
        <v>1751</v>
      </c>
      <c r="K267" s="69" t="s">
        <v>79</v>
      </c>
      <c r="L267" s="20" t="s">
        <v>844</v>
      </c>
      <c r="M267" s="118" t="s">
        <v>652</v>
      </c>
      <c r="N267" s="111">
        <v>45961</v>
      </c>
      <c r="O267" s="111"/>
      <c r="P267" s="129" t="str">
        <f>TEXT(Table134[[#This Row],[Implementation Due Date]],"YYYY")</f>
        <v>2025</v>
      </c>
      <c r="Q267" s="130" t="str">
        <f>"Q"&amp;ROUNDUP(MONTH(Table134[[#This Row],[Implementation Due Date]])/3,0)</f>
        <v>Q4</v>
      </c>
      <c r="R267" s="98"/>
      <c r="S267" s="95"/>
      <c r="T267" s="94">
        <v>45961</v>
      </c>
      <c r="U267" s="127" t="s">
        <v>845</v>
      </c>
      <c r="V267" s="73">
        <f>$U$2-Table134[[#This Row],[Implementation Due Date]]</f>
        <v>242</v>
      </c>
      <c r="W267" s="15" t="s">
        <v>1643</v>
      </c>
      <c r="X267" s="15"/>
      <c r="Y267" s="26" t="s">
        <v>1752</v>
      </c>
      <c r="Z267" s="26"/>
    </row>
    <row r="268" spans="1:26" ht="273.60000000000002" x14ac:dyDescent="0.3">
      <c r="A268" s="15">
        <f t="shared" si="4"/>
        <v>265</v>
      </c>
      <c r="B268" s="15" t="s">
        <v>699</v>
      </c>
      <c r="C268" s="15" t="s">
        <v>699</v>
      </c>
      <c r="D268" s="15">
        <v>2025</v>
      </c>
      <c r="E268" s="15"/>
      <c r="F268" s="15" t="s">
        <v>778</v>
      </c>
      <c r="G268" s="15" t="s">
        <v>1354</v>
      </c>
      <c r="H268" s="102" t="s">
        <v>1753</v>
      </c>
      <c r="I268" s="65" t="s">
        <v>1754</v>
      </c>
      <c r="J268" s="25" t="s">
        <v>1755</v>
      </c>
      <c r="K268" s="69" t="s">
        <v>50</v>
      </c>
      <c r="L268" s="20" t="s">
        <v>55</v>
      </c>
      <c r="M268" s="118" t="s">
        <v>781</v>
      </c>
      <c r="N268" s="111">
        <v>45930</v>
      </c>
      <c r="O268" s="111"/>
      <c r="P268" s="129" t="str">
        <f>TEXT(Table134[[#This Row],[Implementation Due Date]],"YYYY")</f>
        <v>2025</v>
      </c>
      <c r="Q268" s="130" t="str">
        <f>"Q"&amp;ROUNDUP(MONTH(Table134[[#This Row],[Implementation Due Date]])/3,0)</f>
        <v>Q3</v>
      </c>
      <c r="R268" s="98"/>
      <c r="S268" s="95"/>
      <c r="T268" s="94">
        <v>45930</v>
      </c>
      <c r="U268" s="127" t="s">
        <v>845</v>
      </c>
      <c r="V268" s="73">
        <f>$U$2-Table134[[#This Row],[Implementation Due Date]]</f>
        <v>273</v>
      </c>
      <c r="W268" s="15" t="s">
        <v>1643</v>
      </c>
      <c r="X268" s="15"/>
      <c r="Y268" s="26" t="s">
        <v>1756</v>
      </c>
      <c r="Z268" s="26"/>
    </row>
    <row r="269" spans="1:26" ht="216" x14ac:dyDescent="0.3">
      <c r="A269" s="15">
        <f t="shared" si="4"/>
        <v>266</v>
      </c>
      <c r="B269" s="15" t="s">
        <v>699</v>
      </c>
      <c r="C269" s="15" t="s">
        <v>699</v>
      </c>
      <c r="D269" s="15">
        <v>2025</v>
      </c>
      <c r="E269" s="15"/>
      <c r="F269" s="15" t="s">
        <v>778</v>
      </c>
      <c r="G269" s="15" t="s">
        <v>1354</v>
      </c>
      <c r="H269" s="102" t="s">
        <v>1757</v>
      </c>
      <c r="I269" s="65" t="s">
        <v>1758</v>
      </c>
      <c r="J269" s="25" t="s">
        <v>1759</v>
      </c>
      <c r="K269" s="69" t="s">
        <v>50</v>
      </c>
      <c r="L269" s="20" t="s">
        <v>55</v>
      </c>
      <c r="M269" s="118" t="s">
        <v>781</v>
      </c>
      <c r="N269" s="111">
        <v>45930</v>
      </c>
      <c r="O269" s="111"/>
      <c r="P269" s="129" t="str">
        <f>TEXT(Table134[[#This Row],[Implementation Due Date]],"YYYY")</f>
        <v>2025</v>
      </c>
      <c r="Q269" s="130" t="str">
        <f>"Q"&amp;ROUNDUP(MONTH(Table134[[#This Row],[Implementation Due Date]])/3,0)</f>
        <v>Q3</v>
      </c>
      <c r="R269" s="98"/>
      <c r="S269" s="95"/>
      <c r="T269" s="94">
        <v>45930</v>
      </c>
      <c r="U269" s="127" t="s">
        <v>845</v>
      </c>
      <c r="V269" s="73">
        <f>$U$2-Table134[[#This Row],[Implementation Due Date]]</f>
        <v>273</v>
      </c>
      <c r="W269" s="15" t="s">
        <v>1643</v>
      </c>
      <c r="X269" s="15"/>
      <c r="Y269" s="26" t="s">
        <v>1760</v>
      </c>
      <c r="Z269" s="26"/>
    </row>
    <row r="270" spans="1:26" ht="409.6" x14ac:dyDescent="0.3">
      <c r="A270" s="15">
        <f t="shared" si="4"/>
        <v>267</v>
      </c>
      <c r="B270" s="15" t="s">
        <v>699</v>
      </c>
      <c r="C270" s="15" t="s">
        <v>699</v>
      </c>
      <c r="D270" s="15">
        <v>2025</v>
      </c>
      <c r="E270" s="15"/>
      <c r="F270" s="15" t="s">
        <v>778</v>
      </c>
      <c r="G270" s="15" t="s">
        <v>1354</v>
      </c>
      <c r="H270" s="102" t="s">
        <v>1761</v>
      </c>
      <c r="I270" s="65" t="s">
        <v>1762</v>
      </c>
      <c r="J270" s="25" t="s">
        <v>1763</v>
      </c>
      <c r="K270" s="69" t="s">
        <v>50</v>
      </c>
      <c r="L270" s="20" t="s">
        <v>55</v>
      </c>
      <c r="M270" s="118" t="s">
        <v>781</v>
      </c>
      <c r="N270" s="111">
        <v>45930</v>
      </c>
      <c r="O270" s="111"/>
      <c r="P270" s="129" t="str">
        <f>TEXT(Table134[[#This Row],[Implementation Due Date]],"YYYY")</f>
        <v>2025</v>
      </c>
      <c r="Q270" s="130" t="str">
        <f>"Q"&amp;ROUNDUP(MONTH(Table134[[#This Row],[Implementation Due Date]])/3,0)</f>
        <v>Q3</v>
      </c>
      <c r="R270" s="98"/>
      <c r="S270" s="95"/>
      <c r="T270" s="94">
        <v>45930</v>
      </c>
      <c r="U270" s="127" t="s">
        <v>845</v>
      </c>
      <c r="V270" s="73">
        <f>$U$2-Table134[[#This Row],[Implementation Due Date]]</f>
        <v>273</v>
      </c>
      <c r="W270" s="15" t="s">
        <v>1643</v>
      </c>
      <c r="X270" s="15"/>
      <c r="Y270" s="26" t="s">
        <v>1760</v>
      </c>
      <c r="Z270" s="26"/>
    </row>
    <row r="271" spans="1:26" ht="409.6" x14ac:dyDescent="0.3">
      <c r="A271" s="15">
        <f t="shared" si="4"/>
        <v>268</v>
      </c>
      <c r="B271" s="15" t="s">
        <v>699</v>
      </c>
      <c r="C271" s="15" t="s">
        <v>699</v>
      </c>
      <c r="D271" s="15">
        <v>2025</v>
      </c>
      <c r="E271" s="15"/>
      <c r="F271" s="15" t="s">
        <v>778</v>
      </c>
      <c r="G271" s="15" t="s">
        <v>1354</v>
      </c>
      <c r="H271" s="102" t="s">
        <v>1764</v>
      </c>
      <c r="I271" s="65" t="s">
        <v>1765</v>
      </c>
      <c r="J271" s="25" t="s">
        <v>1766</v>
      </c>
      <c r="K271" s="69" t="s">
        <v>50</v>
      </c>
      <c r="L271" s="20" t="s">
        <v>55</v>
      </c>
      <c r="M271" s="118" t="s">
        <v>781</v>
      </c>
      <c r="N271" s="111">
        <v>45930</v>
      </c>
      <c r="O271" s="111"/>
      <c r="P271" s="129" t="str">
        <f>TEXT(Table134[[#This Row],[Implementation Due Date]],"YYYY")</f>
        <v>2025</v>
      </c>
      <c r="Q271" s="130" t="str">
        <f>"Q"&amp;ROUNDUP(MONTH(Table134[[#This Row],[Implementation Due Date]])/3,0)</f>
        <v>Q3</v>
      </c>
      <c r="R271" s="98"/>
      <c r="S271" s="95"/>
      <c r="T271" s="94">
        <v>45930</v>
      </c>
      <c r="U271" s="127" t="s">
        <v>845</v>
      </c>
      <c r="V271" s="73">
        <f>$U$2-Table134[[#This Row],[Implementation Due Date]]</f>
        <v>273</v>
      </c>
      <c r="W271" s="15" t="s">
        <v>1643</v>
      </c>
      <c r="X271" s="15"/>
      <c r="Y271" s="26" t="s">
        <v>1767</v>
      </c>
      <c r="Z271" s="26"/>
    </row>
    <row r="272" spans="1:26" ht="129.6" x14ac:dyDescent="0.3">
      <c r="A272" s="15">
        <f t="shared" si="4"/>
        <v>269</v>
      </c>
      <c r="B272" s="15" t="s">
        <v>699</v>
      </c>
      <c r="C272" s="15" t="s">
        <v>699</v>
      </c>
      <c r="D272" s="15">
        <v>2025</v>
      </c>
      <c r="E272" s="15"/>
      <c r="F272" s="15" t="s">
        <v>778</v>
      </c>
      <c r="G272" s="15" t="s">
        <v>1354</v>
      </c>
      <c r="H272" s="102" t="s">
        <v>1768</v>
      </c>
      <c r="I272" s="65" t="s">
        <v>1769</v>
      </c>
      <c r="J272" s="25" t="s">
        <v>1770</v>
      </c>
      <c r="K272" s="69" t="s">
        <v>50</v>
      </c>
      <c r="L272" s="20" t="s">
        <v>55</v>
      </c>
      <c r="M272" s="118" t="s">
        <v>781</v>
      </c>
      <c r="N272" s="111">
        <v>45930</v>
      </c>
      <c r="O272" s="111"/>
      <c r="P272" s="129" t="str">
        <f>TEXT(Table134[[#This Row],[Implementation Due Date]],"YYYY")</f>
        <v>2025</v>
      </c>
      <c r="Q272" s="130" t="str">
        <f>"Q"&amp;ROUNDUP(MONTH(Table134[[#This Row],[Implementation Due Date]])/3,0)</f>
        <v>Q3</v>
      </c>
      <c r="R272" s="98"/>
      <c r="S272" s="95"/>
      <c r="T272" s="94">
        <v>45930</v>
      </c>
      <c r="U272" s="127" t="s">
        <v>845</v>
      </c>
      <c r="V272" s="73">
        <f>$U$2-Table134[[#This Row],[Implementation Due Date]]</f>
        <v>273</v>
      </c>
      <c r="W272" s="15" t="s">
        <v>1643</v>
      </c>
      <c r="X272" s="15"/>
      <c r="Y272" s="26" t="s">
        <v>1771</v>
      </c>
      <c r="Z272" s="26"/>
    </row>
    <row r="273" spans="1:26" ht="388.8" x14ac:dyDescent="0.3">
      <c r="A273" s="15">
        <f t="shared" si="4"/>
        <v>270</v>
      </c>
      <c r="B273" s="15" t="s">
        <v>699</v>
      </c>
      <c r="C273" s="15" t="s">
        <v>699</v>
      </c>
      <c r="D273" s="15">
        <v>2025</v>
      </c>
      <c r="E273" s="15"/>
      <c r="F273" s="15" t="s">
        <v>778</v>
      </c>
      <c r="G273" s="15" t="s">
        <v>1354</v>
      </c>
      <c r="H273" s="102" t="s">
        <v>1772</v>
      </c>
      <c r="I273" s="65" t="s">
        <v>1773</v>
      </c>
      <c r="J273" s="25" t="s">
        <v>1774</v>
      </c>
      <c r="K273" s="69" t="s">
        <v>50</v>
      </c>
      <c r="L273" s="20" t="s">
        <v>37</v>
      </c>
      <c r="M273" s="118" t="s">
        <v>781</v>
      </c>
      <c r="N273" s="111">
        <v>45930</v>
      </c>
      <c r="O273" s="111"/>
      <c r="P273" s="129" t="str">
        <f>TEXT(Table134[[#This Row],[Implementation Due Date]],"YYYY")</f>
        <v>2025</v>
      </c>
      <c r="Q273" s="130" t="str">
        <f>"Q"&amp;ROUNDUP(MONTH(Table134[[#This Row],[Implementation Due Date]])/3,0)</f>
        <v>Q3</v>
      </c>
      <c r="R273" s="98">
        <v>2025</v>
      </c>
      <c r="S273" s="95" t="s">
        <v>705</v>
      </c>
      <c r="T273" s="94"/>
      <c r="U273" s="126" t="s">
        <v>706</v>
      </c>
      <c r="V273" s="73" t="s">
        <v>707</v>
      </c>
      <c r="W273" s="15" t="s">
        <v>706</v>
      </c>
      <c r="X273" s="15"/>
      <c r="Y273" s="26" t="s">
        <v>1775</v>
      </c>
      <c r="Z273" s="26"/>
    </row>
    <row r="274" spans="1:26" ht="201.6" x14ac:dyDescent="0.3">
      <c r="A274" s="15">
        <f t="shared" si="4"/>
        <v>271</v>
      </c>
      <c r="B274" s="15" t="s">
        <v>699</v>
      </c>
      <c r="C274" s="15" t="s">
        <v>699</v>
      </c>
      <c r="D274" s="15">
        <v>2025</v>
      </c>
      <c r="E274" s="15"/>
      <c r="F274" s="15" t="s">
        <v>778</v>
      </c>
      <c r="G274" s="15" t="s">
        <v>1354</v>
      </c>
      <c r="H274" s="102" t="s">
        <v>1776</v>
      </c>
      <c r="I274" s="65" t="s">
        <v>1777</v>
      </c>
      <c r="J274" s="25" t="s">
        <v>1778</v>
      </c>
      <c r="K274" s="69" t="s">
        <v>50</v>
      </c>
      <c r="L274" s="20" t="s">
        <v>55</v>
      </c>
      <c r="M274" s="118" t="s">
        <v>781</v>
      </c>
      <c r="N274" s="111">
        <v>45930</v>
      </c>
      <c r="O274" s="111"/>
      <c r="P274" s="129" t="str">
        <f>TEXT(Table134[[#This Row],[Implementation Due Date]],"YYYY")</f>
        <v>2025</v>
      </c>
      <c r="Q274" s="130" t="str">
        <f>"Q"&amp;ROUNDUP(MONTH(Table134[[#This Row],[Implementation Due Date]])/3,0)</f>
        <v>Q3</v>
      </c>
      <c r="R274" s="98"/>
      <c r="S274" s="95"/>
      <c r="T274" s="94">
        <v>45930</v>
      </c>
      <c r="U274" s="127" t="s">
        <v>845</v>
      </c>
      <c r="V274" s="73">
        <f>$U$2-Table134[[#This Row],[Implementation Due Date]]</f>
        <v>273</v>
      </c>
      <c r="W274" s="15" t="s">
        <v>1643</v>
      </c>
      <c r="X274" s="15"/>
      <c r="Y274" s="26" t="s">
        <v>1779</v>
      </c>
      <c r="Z274" s="26"/>
    </row>
    <row r="275" spans="1:26" ht="172.8" x14ac:dyDescent="0.3">
      <c r="A275" s="15">
        <f t="shared" si="4"/>
        <v>272</v>
      </c>
      <c r="B275" s="15" t="s">
        <v>699</v>
      </c>
      <c r="C275" s="15" t="s">
        <v>699</v>
      </c>
      <c r="D275" s="15">
        <v>2025</v>
      </c>
      <c r="E275" s="15"/>
      <c r="F275" s="15" t="s">
        <v>778</v>
      </c>
      <c r="G275" s="15" t="s">
        <v>1354</v>
      </c>
      <c r="H275" s="102" t="s">
        <v>1780</v>
      </c>
      <c r="I275" s="65" t="s">
        <v>1781</v>
      </c>
      <c r="J275" s="25" t="s">
        <v>1782</v>
      </c>
      <c r="K275" s="69" t="s">
        <v>50</v>
      </c>
      <c r="L275" s="20" t="s">
        <v>55</v>
      </c>
      <c r="M275" s="118" t="s">
        <v>781</v>
      </c>
      <c r="N275" s="111">
        <v>45930</v>
      </c>
      <c r="O275" s="111"/>
      <c r="P275" s="129" t="str">
        <f>TEXT(Table134[[#This Row],[Implementation Due Date]],"YYYY")</f>
        <v>2025</v>
      </c>
      <c r="Q275" s="130" t="str">
        <f>"Q"&amp;ROUNDUP(MONTH(Table134[[#This Row],[Implementation Due Date]])/3,0)</f>
        <v>Q3</v>
      </c>
      <c r="R275" s="98"/>
      <c r="S275" s="95"/>
      <c r="T275" s="94">
        <v>45930</v>
      </c>
      <c r="U275" s="127" t="s">
        <v>845</v>
      </c>
      <c r="V275" s="73">
        <f>$U$2-Table134[[#This Row],[Implementation Due Date]]</f>
        <v>273</v>
      </c>
      <c r="W275" s="15" t="s">
        <v>1643</v>
      </c>
      <c r="X275" s="15"/>
      <c r="Y275" s="26" t="s">
        <v>1783</v>
      </c>
      <c r="Z275" s="26"/>
    </row>
    <row r="276" spans="1:26" ht="55.2" x14ac:dyDescent="0.3">
      <c r="A276" s="15">
        <f t="shared" si="4"/>
        <v>273</v>
      </c>
      <c r="B276" s="15" t="s">
        <v>699</v>
      </c>
      <c r="C276" s="15" t="s">
        <v>699</v>
      </c>
      <c r="D276" s="15">
        <v>2025</v>
      </c>
      <c r="E276" s="15"/>
      <c r="F276" s="15" t="s">
        <v>778</v>
      </c>
      <c r="G276" s="15" t="s">
        <v>1354</v>
      </c>
      <c r="H276" s="102" t="s">
        <v>1784</v>
      </c>
      <c r="I276" s="65" t="s">
        <v>1785</v>
      </c>
      <c r="J276" s="25" t="s">
        <v>1786</v>
      </c>
      <c r="K276" s="69" t="s">
        <v>50</v>
      </c>
      <c r="L276" s="20" t="s">
        <v>844</v>
      </c>
      <c r="M276" s="118" t="s">
        <v>781</v>
      </c>
      <c r="N276" s="111">
        <v>45930</v>
      </c>
      <c r="O276" s="111"/>
      <c r="P276" s="129" t="str">
        <f>TEXT(Table134[[#This Row],[Implementation Due Date]],"YYYY")</f>
        <v>2025</v>
      </c>
      <c r="Q276" s="130" t="str">
        <f>"Q"&amp;ROUNDUP(MONTH(Table134[[#This Row],[Implementation Due Date]])/3,0)</f>
        <v>Q3</v>
      </c>
      <c r="R276" s="98">
        <v>2025</v>
      </c>
      <c r="S276" s="95" t="s">
        <v>890</v>
      </c>
      <c r="T276" s="94"/>
      <c r="U276" s="126" t="s">
        <v>706</v>
      </c>
      <c r="V276" s="73" t="s">
        <v>707</v>
      </c>
      <c r="W276" s="15" t="s">
        <v>706</v>
      </c>
      <c r="X276" s="15"/>
      <c r="Y276" s="26" t="s">
        <v>1787</v>
      </c>
      <c r="Z276" s="26"/>
    </row>
    <row r="277" spans="1:26" ht="86.4" x14ac:dyDescent="0.3">
      <c r="A277" s="15">
        <f t="shared" si="4"/>
        <v>274</v>
      </c>
      <c r="B277" s="15" t="s">
        <v>699</v>
      </c>
      <c r="C277" s="15" t="s">
        <v>699</v>
      </c>
      <c r="D277" s="15">
        <v>2025</v>
      </c>
      <c r="E277" s="15"/>
      <c r="F277" s="15" t="s">
        <v>778</v>
      </c>
      <c r="G277" s="15" t="s">
        <v>1354</v>
      </c>
      <c r="H277" s="102" t="s">
        <v>1788</v>
      </c>
      <c r="I277" s="65" t="s">
        <v>1789</v>
      </c>
      <c r="J277" s="25" t="s">
        <v>1790</v>
      </c>
      <c r="K277" s="69" t="s">
        <v>50</v>
      </c>
      <c r="L277" s="20" t="s">
        <v>844</v>
      </c>
      <c r="M277" s="118" t="s">
        <v>781</v>
      </c>
      <c r="N277" s="111">
        <v>45930</v>
      </c>
      <c r="O277" s="111"/>
      <c r="P277" s="129" t="str">
        <f>TEXT(Table134[[#This Row],[Implementation Due Date]],"YYYY")</f>
        <v>2025</v>
      </c>
      <c r="Q277" s="130" t="str">
        <f>"Q"&amp;ROUNDUP(MONTH(Table134[[#This Row],[Implementation Due Date]])/3,0)</f>
        <v>Q3</v>
      </c>
      <c r="R277" s="98">
        <v>2025</v>
      </c>
      <c r="S277" s="95" t="s">
        <v>705</v>
      </c>
      <c r="T277" s="94"/>
      <c r="U277" s="126" t="s">
        <v>706</v>
      </c>
      <c r="V277" s="73" t="s">
        <v>707</v>
      </c>
      <c r="W277" s="15" t="s">
        <v>706</v>
      </c>
      <c r="X277" s="15"/>
      <c r="Y277" s="26" t="s">
        <v>1791</v>
      </c>
      <c r="Z277" s="26"/>
    </row>
    <row r="278" spans="1:26" ht="57.6" x14ac:dyDescent="0.3">
      <c r="A278" s="15">
        <f t="shared" si="4"/>
        <v>275</v>
      </c>
      <c r="B278" s="15" t="s">
        <v>699</v>
      </c>
      <c r="C278" s="15" t="s">
        <v>699</v>
      </c>
      <c r="D278" s="15">
        <v>2025</v>
      </c>
      <c r="E278" s="15"/>
      <c r="F278" s="15" t="s">
        <v>778</v>
      </c>
      <c r="G278" s="15" t="s">
        <v>1354</v>
      </c>
      <c r="H278" s="102" t="s">
        <v>1792</v>
      </c>
      <c r="I278" s="65" t="s">
        <v>1793</v>
      </c>
      <c r="J278" s="25" t="s">
        <v>1794</v>
      </c>
      <c r="K278" s="69" t="s">
        <v>50</v>
      </c>
      <c r="L278" s="20" t="s">
        <v>814</v>
      </c>
      <c r="M278" s="118" t="s">
        <v>781</v>
      </c>
      <c r="N278" s="111">
        <v>45930</v>
      </c>
      <c r="O278" s="111"/>
      <c r="P278" s="129" t="str">
        <f>TEXT(Table134[[#This Row],[Implementation Due Date]],"YYYY")</f>
        <v>2025</v>
      </c>
      <c r="Q278" s="130" t="str">
        <f>"Q"&amp;ROUNDUP(MONTH(Table134[[#This Row],[Implementation Due Date]])/3,0)</f>
        <v>Q3</v>
      </c>
      <c r="R278" s="98"/>
      <c r="S278" s="95"/>
      <c r="T278" s="94">
        <v>45930</v>
      </c>
      <c r="U278" s="127" t="s">
        <v>845</v>
      </c>
      <c r="V278" s="73">
        <f>$U$2-Table134[[#This Row],[Implementation Due Date]]</f>
        <v>273</v>
      </c>
      <c r="W278" s="15" t="s">
        <v>1643</v>
      </c>
      <c r="X278" s="15"/>
      <c r="Y278" s="26" t="s">
        <v>1795</v>
      </c>
      <c r="Z278" s="26"/>
    </row>
    <row r="279" spans="1:26" ht="124.2" x14ac:dyDescent="0.3">
      <c r="A279" s="15">
        <f t="shared" si="4"/>
        <v>276</v>
      </c>
      <c r="B279" s="15" t="s">
        <v>699</v>
      </c>
      <c r="C279" s="15" t="s">
        <v>699</v>
      </c>
      <c r="D279" s="15">
        <v>2025</v>
      </c>
      <c r="E279" s="15"/>
      <c r="F279" s="15" t="s">
        <v>778</v>
      </c>
      <c r="G279" s="15" t="s">
        <v>1354</v>
      </c>
      <c r="H279" s="102" t="s">
        <v>1796</v>
      </c>
      <c r="I279" s="65" t="s">
        <v>1797</v>
      </c>
      <c r="J279" s="25" t="s">
        <v>1798</v>
      </c>
      <c r="K279" s="69" t="s">
        <v>79</v>
      </c>
      <c r="L279" s="20" t="s">
        <v>55</v>
      </c>
      <c r="M279" s="118" t="s">
        <v>781</v>
      </c>
      <c r="N279" s="111">
        <v>45930</v>
      </c>
      <c r="O279" s="111"/>
      <c r="P279" s="129" t="str">
        <f>TEXT(Table134[[#This Row],[Implementation Due Date]],"YYYY")</f>
        <v>2025</v>
      </c>
      <c r="Q279" s="130" t="str">
        <f>"Q"&amp;ROUNDUP(MONTH(Table134[[#This Row],[Implementation Due Date]])/3,0)</f>
        <v>Q3</v>
      </c>
      <c r="R279" s="98"/>
      <c r="S279" s="95"/>
      <c r="T279" s="94">
        <v>45930</v>
      </c>
      <c r="U279" s="127" t="s">
        <v>845</v>
      </c>
      <c r="V279" s="73">
        <f>$U$2-Table134[[#This Row],[Implementation Due Date]]</f>
        <v>273</v>
      </c>
      <c r="W279" s="15" t="s">
        <v>1643</v>
      </c>
      <c r="X279" s="15"/>
      <c r="Y279" s="26" t="s">
        <v>1799</v>
      </c>
      <c r="Z279" s="26"/>
    </row>
    <row r="280" spans="1:26" ht="193.2" x14ac:dyDescent="0.3">
      <c r="A280" s="15">
        <f t="shared" si="4"/>
        <v>277</v>
      </c>
      <c r="B280" s="15" t="s">
        <v>699</v>
      </c>
      <c r="C280" s="15" t="s">
        <v>699</v>
      </c>
      <c r="D280" s="15">
        <v>2025</v>
      </c>
      <c r="E280" s="15"/>
      <c r="F280" s="15" t="s">
        <v>778</v>
      </c>
      <c r="G280" s="15" t="s">
        <v>1354</v>
      </c>
      <c r="H280" s="102" t="s">
        <v>1800</v>
      </c>
      <c r="I280" s="65" t="s">
        <v>1801</v>
      </c>
      <c r="J280" s="25" t="s">
        <v>1802</v>
      </c>
      <c r="K280" s="69" t="s">
        <v>79</v>
      </c>
      <c r="L280" s="20" t="s">
        <v>55</v>
      </c>
      <c r="M280" s="118" t="s">
        <v>781</v>
      </c>
      <c r="N280" s="111">
        <v>45930</v>
      </c>
      <c r="O280" s="111"/>
      <c r="P280" s="129" t="str">
        <f>TEXT(Table134[[#This Row],[Implementation Due Date]],"YYYY")</f>
        <v>2025</v>
      </c>
      <c r="Q280" s="130" t="str">
        <f>"Q"&amp;ROUNDUP(MONTH(Table134[[#This Row],[Implementation Due Date]])/3,0)</f>
        <v>Q3</v>
      </c>
      <c r="R280" s="98"/>
      <c r="S280" s="95"/>
      <c r="T280" s="94">
        <v>45930</v>
      </c>
      <c r="U280" s="127" t="s">
        <v>845</v>
      </c>
      <c r="V280" s="73">
        <f>$U$2-Table134[[#This Row],[Implementation Due Date]]</f>
        <v>273</v>
      </c>
      <c r="W280" s="15" t="s">
        <v>1643</v>
      </c>
      <c r="X280" s="15"/>
      <c r="Y280" s="26" t="s">
        <v>1803</v>
      </c>
      <c r="Z280" s="26"/>
    </row>
    <row r="281" spans="1:26" ht="234.6" x14ac:dyDescent="0.3">
      <c r="A281" s="15">
        <f t="shared" si="4"/>
        <v>278</v>
      </c>
      <c r="B281" s="15" t="s">
        <v>699</v>
      </c>
      <c r="C281" s="15" t="s">
        <v>699</v>
      </c>
      <c r="D281" s="15">
        <v>2025</v>
      </c>
      <c r="E281" s="15"/>
      <c r="F281" s="15" t="s">
        <v>81</v>
      </c>
      <c r="G281" s="15" t="s">
        <v>1290</v>
      </c>
      <c r="H281" s="102" t="s">
        <v>1804</v>
      </c>
      <c r="I281" s="65" t="s">
        <v>1805</v>
      </c>
      <c r="J281" s="25" t="s">
        <v>1806</v>
      </c>
      <c r="K281" s="69" t="s">
        <v>50</v>
      </c>
      <c r="L281" s="20" t="s">
        <v>55</v>
      </c>
      <c r="M281" s="118" t="s">
        <v>1807</v>
      </c>
      <c r="N281" s="111">
        <v>46112</v>
      </c>
      <c r="O281" s="111"/>
      <c r="P281" s="129" t="str">
        <f>TEXT(Table134[[#This Row],[Implementation Due Date]],"YYYY")</f>
        <v>2026</v>
      </c>
      <c r="Q281" s="130" t="str">
        <f>"Q"&amp;ROUNDUP(MONTH(Table134[[#This Row],[Implementation Due Date]])/3,0)</f>
        <v>Q1</v>
      </c>
      <c r="R281" s="98"/>
      <c r="S281" s="95"/>
      <c r="T281" s="94">
        <v>46112</v>
      </c>
      <c r="U281" s="127" t="s">
        <v>845</v>
      </c>
      <c r="V281" s="73">
        <f>$U$2-Table134[[#This Row],[Implementation Due Date]]</f>
        <v>91</v>
      </c>
      <c r="W281" s="15" t="s">
        <v>1808</v>
      </c>
      <c r="X281" s="15"/>
      <c r="Y281" s="26" t="s">
        <v>1809</v>
      </c>
      <c r="Z281" s="26"/>
    </row>
    <row r="282" spans="1:26" ht="207" x14ac:dyDescent="0.3">
      <c r="A282" s="15">
        <f t="shared" si="4"/>
        <v>279</v>
      </c>
      <c r="B282" s="15" t="s">
        <v>699</v>
      </c>
      <c r="C282" s="15" t="s">
        <v>699</v>
      </c>
      <c r="D282" s="15">
        <v>2025</v>
      </c>
      <c r="E282" s="15"/>
      <c r="F282" s="15" t="s">
        <v>81</v>
      </c>
      <c r="G282" s="15" t="s">
        <v>1290</v>
      </c>
      <c r="H282" s="102" t="s">
        <v>1810</v>
      </c>
      <c r="I282" s="65" t="s">
        <v>1811</v>
      </c>
      <c r="J282" s="25" t="s">
        <v>1812</v>
      </c>
      <c r="K282" s="69" t="s">
        <v>50</v>
      </c>
      <c r="L282" s="20" t="s">
        <v>55</v>
      </c>
      <c r="M282" s="118" t="s">
        <v>1807</v>
      </c>
      <c r="N282" s="111">
        <v>46112</v>
      </c>
      <c r="O282" s="111"/>
      <c r="P282" s="129" t="str">
        <f>TEXT(Table134[[#This Row],[Implementation Due Date]],"YYYY")</f>
        <v>2026</v>
      </c>
      <c r="Q282" s="130" t="str">
        <f>"Q"&amp;ROUNDUP(MONTH(Table134[[#This Row],[Implementation Due Date]])/3,0)</f>
        <v>Q1</v>
      </c>
      <c r="R282" s="98"/>
      <c r="S282" s="95"/>
      <c r="T282" s="94">
        <v>46112</v>
      </c>
      <c r="U282" s="127" t="s">
        <v>845</v>
      </c>
      <c r="V282" s="73">
        <f>$U$2-Table134[[#This Row],[Implementation Due Date]]</f>
        <v>91</v>
      </c>
      <c r="W282" s="15" t="s">
        <v>1808</v>
      </c>
      <c r="X282" s="15"/>
      <c r="Y282" s="26" t="s">
        <v>1813</v>
      </c>
      <c r="Z282" s="26"/>
    </row>
    <row r="283" spans="1:26" ht="193.2" x14ac:dyDescent="0.3">
      <c r="A283" s="15">
        <f t="shared" si="4"/>
        <v>280</v>
      </c>
      <c r="B283" s="15" t="s">
        <v>699</v>
      </c>
      <c r="C283" s="15" t="s">
        <v>699</v>
      </c>
      <c r="D283" s="15">
        <v>2025</v>
      </c>
      <c r="E283" s="15"/>
      <c r="F283" s="15" t="s">
        <v>81</v>
      </c>
      <c r="G283" s="15" t="s">
        <v>1290</v>
      </c>
      <c r="H283" s="102" t="s">
        <v>1814</v>
      </c>
      <c r="I283" s="65" t="s">
        <v>1815</v>
      </c>
      <c r="J283" s="25" t="s">
        <v>1816</v>
      </c>
      <c r="K283" s="69" t="s">
        <v>50</v>
      </c>
      <c r="L283" s="20" t="s">
        <v>55</v>
      </c>
      <c r="M283" s="118" t="s">
        <v>1807</v>
      </c>
      <c r="N283" s="111">
        <v>46112</v>
      </c>
      <c r="O283" s="111"/>
      <c r="P283" s="129" t="str">
        <f>TEXT(Table134[[#This Row],[Implementation Due Date]],"YYYY")</f>
        <v>2026</v>
      </c>
      <c r="Q283" s="130" t="str">
        <f>"Q"&amp;ROUNDUP(MONTH(Table134[[#This Row],[Implementation Due Date]])/3,0)</f>
        <v>Q1</v>
      </c>
      <c r="R283" s="98"/>
      <c r="S283" s="95"/>
      <c r="T283" s="94">
        <v>46112</v>
      </c>
      <c r="U283" s="127" t="s">
        <v>845</v>
      </c>
      <c r="V283" s="73">
        <f>$U$2-Table134[[#This Row],[Implementation Due Date]]</f>
        <v>91</v>
      </c>
      <c r="W283" s="15" t="s">
        <v>1808</v>
      </c>
      <c r="X283" s="15"/>
      <c r="Y283" s="26" t="s">
        <v>1817</v>
      </c>
      <c r="Z283" s="26"/>
    </row>
    <row r="284" spans="1:26" ht="207" x14ac:dyDescent="0.3">
      <c r="A284" s="15">
        <f t="shared" si="4"/>
        <v>281</v>
      </c>
      <c r="B284" s="15" t="s">
        <v>699</v>
      </c>
      <c r="C284" s="15" t="s">
        <v>699</v>
      </c>
      <c r="D284" s="15">
        <v>2025</v>
      </c>
      <c r="E284" s="15"/>
      <c r="F284" s="15" t="s">
        <v>81</v>
      </c>
      <c r="G284" s="15" t="s">
        <v>1290</v>
      </c>
      <c r="H284" s="102" t="s">
        <v>1818</v>
      </c>
      <c r="I284" s="65" t="s">
        <v>1819</v>
      </c>
      <c r="J284" s="25" t="s">
        <v>1820</v>
      </c>
      <c r="K284" s="69" t="s">
        <v>50</v>
      </c>
      <c r="L284" s="20" t="s">
        <v>26</v>
      </c>
      <c r="M284" s="118" t="s">
        <v>1807</v>
      </c>
      <c r="N284" s="111">
        <v>46112</v>
      </c>
      <c r="O284" s="111"/>
      <c r="P284" s="129" t="str">
        <f>TEXT(Table134[[#This Row],[Implementation Due Date]],"YYYY")</f>
        <v>2026</v>
      </c>
      <c r="Q284" s="130" t="str">
        <f>"Q"&amp;ROUNDUP(MONTH(Table134[[#This Row],[Implementation Due Date]])/3,0)</f>
        <v>Q1</v>
      </c>
      <c r="R284" s="98"/>
      <c r="S284" s="95"/>
      <c r="T284" s="94">
        <v>46112</v>
      </c>
      <c r="U284" s="127" t="s">
        <v>845</v>
      </c>
      <c r="V284" s="73">
        <f>$U$2-Table134[[#This Row],[Implementation Due Date]]</f>
        <v>91</v>
      </c>
      <c r="W284" s="15" t="s">
        <v>1808</v>
      </c>
      <c r="X284" s="15"/>
      <c r="Y284" s="26" t="s">
        <v>1821</v>
      </c>
      <c r="Z284" s="26"/>
    </row>
    <row r="285" spans="1:26" ht="276" x14ac:dyDescent="0.3">
      <c r="A285" s="15">
        <f t="shared" si="4"/>
        <v>282</v>
      </c>
      <c r="B285" s="15" t="s">
        <v>699</v>
      </c>
      <c r="C285" s="15" t="s">
        <v>699</v>
      </c>
      <c r="D285" s="15">
        <v>2025</v>
      </c>
      <c r="E285" s="15"/>
      <c r="F285" s="15" t="s">
        <v>81</v>
      </c>
      <c r="G285" s="15" t="s">
        <v>1290</v>
      </c>
      <c r="H285" s="102" t="s">
        <v>1822</v>
      </c>
      <c r="I285" s="65" t="s">
        <v>1823</v>
      </c>
      <c r="J285" s="25" t="s">
        <v>1824</v>
      </c>
      <c r="K285" s="69" t="s">
        <v>50</v>
      </c>
      <c r="L285" s="20" t="s">
        <v>844</v>
      </c>
      <c r="M285" s="118" t="s">
        <v>1807</v>
      </c>
      <c r="N285" s="111">
        <v>46022</v>
      </c>
      <c r="O285" s="111"/>
      <c r="P285" s="129" t="str">
        <f>TEXT(Table134[[#This Row],[Implementation Due Date]],"YYYY")</f>
        <v>2025</v>
      </c>
      <c r="Q285" s="130" t="str">
        <f>"Q"&amp;ROUNDUP(MONTH(Table134[[#This Row],[Implementation Due Date]])/3,0)</f>
        <v>Q4</v>
      </c>
      <c r="R285" s="98"/>
      <c r="S285" s="95"/>
      <c r="T285" s="94">
        <v>46022</v>
      </c>
      <c r="U285" s="127" t="s">
        <v>845</v>
      </c>
      <c r="V285" s="73">
        <f>$U$2-Table134[[#This Row],[Implementation Due Date]]</f>
        <v>181</v>
      </c>
      <c r="W285" s="15" t="s">
        <v>1671</v>
      </c>
      <c r="X285" s="15"/>
      <c r="Y285" s="26" t="s">
        <v>1825</v>
      </c>
      <c r="Z285" s="26"/>
    </row>
    <row r="286" spans="1:26" ht="316.8" x14ac:dyDescent="0.3">
      <c r="A286" s="15">
        <f t="shared" si="4"/>
        <v>283</v>
      </c>
      <c r="B286" s="15" t="s">
        <v>699</v>
      </c>
      <c r="C286" s="15" t="s">
        <v>699</v>
      </c>
      <c r="D286" s="15">
        <v>2025</v>
      </c>
      <c r="E286" s="15"/>
      <c r="F286" s="15" t="s">
        <v>81</v>
      </c>
      <c r="G286" s="15" t="s">
        <v>1290</v>
      </c>
      <c r="H286" s="102" t="s">
        <v>1826</v>
      </c>
      <c r="I286" s="65" t="s">
        <v>1827</v>
      </c>
      <c r="J286" s="25" t="s">
        <v>1828</v>
      </c>
      <c r="K286" s="69" t="s">
        <v>50</v>
      </c>
      <c r="L286" s="20" t="s">
        <v>55</v>
      </c>
      <c r="M286" s="118" t="s">
        <v>1807</v>
      </c>
      <c r="N286" s="111">
        <v>46112</v>
      </c>
      <c r="O286" s="111"/>
      <c r="P286" s="129" t="str">
        <f>TEXT(Table134[[#This Row],[Implementation Due Date]],"YYYY")</f>
        <v>2026</v>
      </c>
      <c r="Q286" s="130" t="str">
        <f>"Q"&amp;ROUNDUP(MONTH(Table134[[#This Row],[Implementation Due Date]])/3,0)</f>
        <v>Q1</v>
      </c>
      <c r="R286" s="98"/>
      <c r="S286" s="95"/>
      <c r="T286" s="94">
        <v>46112</v>
      </c>
      <c r="U286" s="127" t="s">
        <v>845</v>
      </c>
      <c r="V286" s="73">
        <f>$U$2-Table134[[#This Row],[Implementation Due Date]]</f>
        <v>91</v>
      </c>
      <c r="W286" s="15" t="s">
        <v>1808</v>
      </c>
      <c r="X286" s="15"/>
      <c r="Y286" s="26" t="s">
        <v>1829</v>
      </c>
      <c r="Z286" s="26"/>
    </row>
    <row r="287" spans="1:26" ht="288" x14ac:dyDescent="0.3">
      <c r="A287" s="15">
        <f t="shared" si="4"/>
        <v>284</v>
      </c>
      <c r="B287" s="15" t="s">
        <v>699</v>
      </c>
      <c r="C287" s="15" t="s">
        <v>699</v>
      </c>
      <c r="D287" s="15">
        <v>2025</v>
      </c>
      <c r="E287" s="15"/>
      <c r="F287" s="15" t="s">
        <v>81</v>
      </c>
      <c r="G287" s="15" t="s">
        <v>1290</v>
      </c>
      <c r="H287" s="102" t="s">
        <v>1830</v>
      </c>
      <c r="I287" s="65" t="s">
        <v>1831</v>
      </c>
      <c r="J287" s="25" t="s">
        <v>1832</v>
      </c>
      <c r="K287" s="69" t="s">
        <v>79</v>
      </c>
      <c r="L287" s="20" t="s">
        <v>26</v>
      </c>
      <c r="M287" s="118" t="s">
        <v>1807</v>
      </c>
      <c r="N287" s="111">
        <v>46112</v>
      </c>
      <c r="O287" s="111"/>
      <c r="P287" s="129" t="str">
        <f>TEXT(Table134[[#This Row],[Implementation Due Date]],"YYYY")</f>
        <v>2026</v>
      </c>
      <c r="Q287" s="130" t="str">
        <f>"Q"&amp;ROUNDUP(MONTH(Table134[[#This Row],[Implementation Due Date]])/3,0)</f>
        <v>Q1</v>
      </c>
      <c r="R287" s="98"/>
      <c r="S287" s="95"/>
      <c r="T287" s="94">
        <v>46112</v>
      </c>
      <c r="U287" s="127" t="s">
        <v>845</v>
      </c>
      <c r="V287" s="73">
        <f>$U$2-Table134[[#This Row],[Implementation Due Date]]</f>
        <v>91</v>
      </c>
      <c r="W287" s="15" t="s">
        <v>1808</v>
      </c>
      <c r="X287" s="15"/>
      <c r="Y287" s="26" t="s">
        <v>1833</v>
      </c>
      <c r="Z287" s="26"/>
    </row>
    <row r="288" spans="1:26" ht="96.6" x14ac:dyDescent="0.3">
      <c r="A288" s="15">
        <f t="shared" si="4"/>
        <v>285</v>
      </c>
      <c r="B288" s="15" t="s">
        <v>699</v>
      </c>
      <c r="C288" s="15" t="s">
        <v>699</v>
      </c>
      <c r="D288" s="15">
        <v>2025</v>
      </c>
      <c r="E288" s="15"/>
      <c r="F288" s="15" t="s">
        <v>81</v>
      </c>
      <c r="G288" s="15" t="s">
        <v>1290</v>
      </c>
      <c r="H288" s="102" t="s">
        <v>1834</v>
      </c>
      <c r="I288" s="65" t="s">
        <v>1835</v>
      </c>
      <c r="J288" s="25" t="s">
        <v>1836</v>
      </c>
      <c r="K288" s="69" t="s">
        <v>79</v>
      </c>
      <c r="L288" s="20" t="s">
        <v>55</v>
      </c>
      <c r="M288" s="118" t="s">
        <v>1807</v>
      </c>
      <c r="N288" s="111">
        <v>46112</v>
      </c>
      <c r="O288" s="111"/>
      <c r="P288" s="129" t="str">
        <f>TEXT(Table134[[#This Row],[Implementation Due Date]],"YYYY")</f>
        <v>2026</v>
      </c>
      <c r="Q288" s="130" t="str">
        <f>"Q"&amp;ROUNDUP(MONTH(Table134[[#This Row],[Implementation Due Date]])/3,0)</f>
        <v>Q1</v>
      </c>
      <c r="R288" s="98"/>
      <c r="S288" s="95"/>
      <c r="T288" s="94">
        <v>46112</v>
      </c>
      <c r="U288" s="127" t="s">
        <v>845</v>
      </c>
      <c r="V288" s="73">
        <f>$U$2-Table134[[#This Row],[Implementation Due Date]]</f>
        <v>91</v>
      </c>
      <c r="W288" s="15" t="s">
        <v>1808</v>
      </c>
      <c r="X288" s="15"/>
      <c r="Y288" s="26" t="s">
        <v>1837</v>
      </c>
      <c r="Z288" s="26"/>
    </row>
    <row r="289" spans="1:26" ht="179.4" x14ac:dyDescent="0.3">
      <c r="A289" s="15">
        <f t="shared" si="4"/>
        <v>286</v>
      </c>
      <c r="B289" s="15" t="s">
        <v>699</v>
      </c>
      <c r="C289" s="15" t="s">
        <v>699</v>
      </c>
      <c r="D289" s="15">
        <v>2025</v>
      </c>
      <c r="E289" s="15"/>
      <c r="F289" s="15" t="s">
        <v>81</v>
      </c>
      <c r="G289" s="15" t="s">
        <v>1290</v>
      </c>
      <c r="H289" s="102" t="s">
        <v>1838</v>
      </c>
      <c r="I289" s="65" t="s">
        <v>1839</v>
      </c>
      <c r="J289" s="25" t="s">
        <v>1840</v>
      </c>
      <c r="K289" s="69" t="s">
        <v>79</v>
      </c>
      <c r="L289" s="20" t="s">
        <v>55</v>
      </c>
      <c r="M289" s="118" t="s">
        <v>1807</v>
      </c>
      <c r="N289" s="111">
        <v>46112</v>
      </c>
      <c r="O289" s="111"/>
      <c r="P289" s="129" t="str">
        <f>TEXT(Table134[[#This Row],[Implementation Due Date]],"YYYY")</f>
        <v>2026</v>
      </c>
      <c r="Q289" s="130" t="str">
        <f>"Q"&amp;ROUNDUP(MONTH(Table134[[#This Row],[Implementation Due Date]])/3,0)</f>
        <v>Q1</v>
      </c>
      <c r="R289" s="98"/>
      <c r="S289" s="95"/>
      <c r="T289" s="94">
        <v>46112</v>
      </c>
      <c r="U289" s="127" t="s">
        <v>845</v>
      </c>
      <c r="V289" s="73">
        <f>$U$2-Table134[[#This Row],[Implementation Due Date]]</f>
        <v>91</v>
      </c>
      <c r="W289" s="15" t="s">
        <v>1808</v>
      </c>
      <c r="X289" s="15"/>
      <c r="Y289" s="26" t="s">
        <v>1841</v>
      </c>
      <c r="Z289" s="26"/>
    </row>
    <row r="290" spans="1:26" ht="289.8" x14ac:dyDescent="0.3">
      <c r="A290" s="15">
        <f t="shared" si="4"/>
        <v>287</v>
      </c>
      <c r="B290" s="15" t="s">
        <v>699</v>
      </c>
      <c r="C290" s="15" t="s">
        <v>699</v>
      </c>
      <c r="D290" s="15">
        <v>2025</v>
      </c>
      <c r="E290" s="15"/>
      <c r="F290" s="15" t="s">
        <v>81</v>
      </c>
      <c r="G290" s="15" t="s">
        <v>1290</v>
      </c>
      <c r="H290" s="102" t="s">
        <v>1842</v>
      </c>
      <c r="I290" s="65" t="s">
        <v>1843</v>
      </c>
      <c r="J290" s="25" t="s">
        <v>1844</v>
      </c>
      <c r="K290" s="69" t="s">
        <v>79</v>
      </c>
      <c r="L290" s="20" t="s">
        <v>55</v>
      </c>
      <c r="M290" s="118" t="s">
        <v>1807</v>
      </c>
      <c r="N290" s="111">
        <v>46112</v>
      </c>
      <c r="O290" s="111"/>
      <c r="P290" s="129" t="str">
        <f>TEXT(Table134[[#This Row],[Implementation Due Date]],"YYYY")</f>
        <v>2026</v>
      </c>
      <c r="Q290" s="130" t="str">
        <f>"Q"&amp;ROUNDUP(MONTH(Table134[[#This Row],[Implementation Due Date]])/3,0)</f>
        <v>Q1</v>
      </c>
      <c r="R290" s="98"/>
      <c r="S290" s="95"/>
      <c r="T290" s="94">
        <v>46112</v>
      </c>
      <c r="U290" s="127" t="s">
        <v>845</v>
      </c>
      <c r="V290" s="73">
        <f>$U$2-Table134[[#This Row],[Implementation Due Date]]</f>
        <v>91</v>
      </c>
      <c r="W290" s="15" t="s">
        <v>1808</v>
      </c>
      <c r="X290" s="15"/>
      <c r="Y290" s="26" t="s">
        <v>1845</v>
      </c>
      <c r="Z290" s="26"/>
    </row>
    <row r="291" spans="1:26" ht="110.4" x14ac:dyDescent="0.3">
      <c r="A291" s="15">
        <f t="shared" si="4"/>
        <v>288</v>
      </c>
      <c r="B291" s="15" t="s">
        <v>699</v>
      </c>
      <c r="C291" s="15" t="s">
        <v>699</v>
      </c>
      <c r="D291" s="15">
        <v>2025</v>
      </c>
      <c r="E291" s="15"/>
      <c r="F291" s="15" t="s">
        <v>81</v>
      </c>
      <c r="G291" s="15" t="s">
        <v>1290</v>
      </c>
      <c r="H291" s="102" t="s">
        <v>1846</v>
      </c>
      <c r="I291" s="65" t="s">
        <v>1847</v>
      </c>
      <c r="J291" s="25" t="s">
        <v>1848</v>
      </c>
      <c r="K291" s="69" t="s">
        <v>79</v>
      </c>
      <c r="L291" s="20" t="s">
        <v>55</v>
      </c>
      <c r="M291" s="118" t="s">
        <v>1807</v>
      </c>
      <c r="N291" s="111" t="s">
        <v>706</v>
      </c>
      <c r="O291" s="111"/>
      <c r="P291" s="98">
        <v>2025</v>
      </c>
      <c r="Q291" s="95" t="s">
        <v>705</v>
      </c>
      <c r="R291" s="98">
        <v>2025</v>
      </c>
      <c r="S291" s="95" t="s">
        <v>705</v>
      </c>
      <c r="T291" s="94" t="s">
        <v>707</v>
      </c>
      <c r="U291" s="126" t="s">
        <v>706</v>
      </c>
      <c r="V291" s="73" t="s">
        <v>707</v>
      </c>
      <c r="W291" s="15" t="s">
        <v>706</v>
      </c>
      <c r="X291" s="15"/>
      <c r="Y291" s="26" t="s">
        <v>1849</v>
      </c>
      <c r="Z291" s="26"/>
    </row>
    <row r="292" spans="1:26" ht="172.8" x14ac:dyDescent="0.3">
      <c r="A292" s="15">
        <f t="shared" si="4"/>
        <v>289</v>
      </c>
      <c r="B292" s="15" t="s">
        <v>699</v>
      </c>
      <c r="C292" s="15" t="s">
        <v>699</v>
      </c>
      <c r="D292" s="15">
        <v>2025</v>
      </c>
      <c r="E292" s="15"/>
      <c r="F292" s="15" t="s">
        <v>81</v>
      </c>
      <c r="G292" s="15" t="s">
        <v>1290</v>
      </c>
      <c r="H292" s="102" t="s">
        <v>1850</v>
      </c>
      <c r="I292" s="65" t="s">
        <v>1851</v>
      </c>
      <c r="J292" s="25" t="s">
        <v>1852</v>
      </c>
      <c r="K292" s="69" t="s">
        <v>79</v>
      </c>
      <c r="L292" s="20" t="s">
        <v>55</v>
      </c>
      <c r="M292" s="118" t="s">
        <v>1807</v>
      </c>
      <c r="N292" s="111">
        <v>46022</v>
      </c>
      <c r="O292" s="111"/>
      <c r="P292" s="129" t="str">
        <f>TEXT(Table134[[#This Row],[Implementation Due Date]],"YYYY")</f>
        <v>2025</v>
      </c>
      <c r="Q292" s="130" t="str">
        <f>"Q"&amp;ROUNDUP(MONTH(Table134[[#This Row],[Implementation Due Date]])/3,0)</f>
        <v>Q4</v>
      </c>
      <c r="R292" s="98"/>
      <c r="S292" s="95"/>
      <c r="T292" s="94">
        <v>46022</v>
      </c>
      <c r="U292" s="127" t="s">
        <v>845</v>
      </c>
      <c r="V292" s="73">
        <f>$U$2-Table134[[#This Row],[Implementation Due Date]]</f>
        <v>181</v>
      </c>
      <c r="W292" s="15" t="s">
        <v>1671</v>
      </c>
      <c r="X292" s="15"/>
      <c r="Y292" s="26" t="s">
        <v>1853</v>
      </c>
      <c r="Z292" s="26"/>
    </row>
    <row r="293" spans="1:26" ht="220.8" x14ac:dyDescent="0.3">
      <c r="A293" s="15">
        <f t="shared" si="4"/>
        <v>290</v>
      </c>
      <c r="B293" s="15" t="s">
        <v>699</v>
      </c>
      <c r="C293" s="15" t="s">
        <v>699</v>
      </c>
      <c r="D293" s="15">
        <v>2025</v>
      </c>
      <c r="E293" s="15"/>
      <c r="F293" s="15" t="s">
        <v>81</v>
      </c>
      <c r="G293" s="15" t="s">
        <v>1290</v>
      </c>
      <c r="H293" s="102" t="s">
        <v>1854</v>
      </c>
      <c r="I293" s="65" t="s">
        <v>1855</v>
      </c>
      <c r="J293" s="25" t="s">
        <v>1856</v>
      </c>
      <c r="K293" s="69" t="s">
        <v>79</v>
      </c>
      <c r="L293" s="20" t="s">
        <v>55</v>
      </c>
      <c r="M293" s="118" t="s">
        <v>1807</v>
      </c>
      <c r="N293" s="111">
        <v>46112</v>
      </c>
      <c r="O293" s="111"/>
      <c r="P293" s="129" t="str">
        <f>TEXT(Table134[[#This Row],[Implementation Due Date]],"YYYY")</f>
        <v>2026</v>
      </c>
      <c r="Q293" s="130" t="str">
        <f>"Q"&amp;ROUNDUP(MONTH(Table134[[#This Row],[Implementation Due Date]])/3,0)</f>
        <v>Q1</v>
      </c>
      <c r="R293" s="98"/>
      <c r="S293" s="95"/>
      <c r="T293" s="94">
        <v>46112</v>
      </c>
      <c r="U293" s="127" t="s">
        <v>845</v>
      </c>
      <c r="V293" s="73">
        <f>$U$2-Table134[[#This Row],[Implementation Due Date]]</f>
        <v>91</v>
      </c>
      <c r="W293" s="15" t="s">
        <v>1808</v>
      </c>
      <c r="X293" s="15"/>
      <c r="Y293" s="26" t="s">
        <v>1857</v>
      </c>
      <c r="Z293" s="26"/>
    </row>
    <row r="294" spans="1:26" ht="220.8" x14ac:dyDescent="0.3">
      <c r="A294" s="15">
        <f t="shared" si="4"/>
        <v>291</v>
      </c>
      <c r="B294" s="15" t="s">
        <v>699</v>
      </c>
      <c r="C294" s="15" t="s">
        <v>699</v>
      </c>
      <c r="D294" s="15">
        <v>2025</v>
      </c>
      <c r="E294" s="15"/>
      <c r="F294" s="15" t="s">
        <v>81</v>
      </c>
      <c r="G294" s="15" t="s">
        <v>1290</v>
      </c>
      <c r="H294" s="105" t="s">
        <v>1858</v>
      </c>
      <c r="I294" s="66" t="s">
        <v>1859</v>
      </c>
      <c r="J294" s="25" t="s">
        <v>1860</v>
      </c>
      <c r="K294" s="70" t="s">
        <v>79</v>
      </c>
      <c r="L294" s="20" t="s">
        <v>55</v>
      </c>
      <c r="M294" s="118" t="s">
        <v>1807</v>
      </c>
      <c r="N294" s="111">
        <v>46203</v>
      </c>
      <c r="O294" s="111"/>
      <c r="P294" s="129" t="str">
        <f>TEXT(Table134[[#This Row],[Implementation Due Date]],"YYYY")</f>
        <v>2026</v>
      </c>
      <c r="Q294" s="130" t="str">
        <f>"Q"&amp;ROUNDUP(MONTH(Table134[[#This Row],[Implementation Due Date]])/3,0)</f>
        <v>Q2</v>
      </c>
      <c r="R294" s="98"/>
      <c r="S294" s="95"/>
      <c r="T294" s="94">
        <v>46203</v>
      </c>
      <c r="U294" s="127" t="s">
        <v>845</v>
      </c>
      <c r="V294" s="73">
        <f>$U$2-Table134[[#This Row],[Implementation Due Date]]</f>
        <v>0</v>
      </c>
      <c r="W294" s="15" t="s">
        <v>1808</v>
      </c>
      <c r="X294" s="15"/>
      <c r="Y294" s="26" t="s">
        <v>1861</v>
      </c>
      <c r="Z294" s="26"/>
    </row>
    <row r="295" spans="1:26" ht="193.2" x14ac:dyDescent="0.3">
      <c r="A295" s="15">
        <f t="shared" si="4"/>
        <v>292</v>
      </c>
      <c r="B295" s="15" t="s">
        <v>699</v>
      </c>
      <c r="C295" s="15" t="s">
        <v>699</v>
      </c>
      <c r="D295" s="15">
        <v>2025</v>
      </c>
      <c r="E295" s="15"/>
      <c r="F295" s="15" t="s">
        <v>731</v>
      </c>
      <c r="G295" s="15" t="s">
        <v>1050</v>
      </c>
      <c r="H295" s="102" t="s">
        <v>1862</v>
      </c>
      <c r="I295" s="63" t="s">
        <v>1863</v>
      </c>
      <c r="J295" s="25" t="s">
        <v>1864</v>
      </c>
      <c r="K295" s="70" t="s">
        <v>50</v>
      </c>
      <c r="L295" s="20" t="s">
        <v>26</v>
      </c>
      <c r="M295" s="118" t="s">
        <v>1865</v>
      </c>
      <c r="N295" s="111">
        <v>46203</v>
      </c>
      <c r="O295" s="111"/>
      <c r="P295" s="129" t="str">
        <f>TEXT(Table134[[#This Row],[Implementation Due Date]],"YYYY")</f>
        <v>2026</v>
      </c>
      <c r="Q295" s="130" t="str">
        <f>"Q"&amp;ROUNDUP(MONTH(Table134[[#This Row],[Implementation Due Date]])/3,0)</f>
        <v>Q2</v>
      </c>
      <c r="R295" s="98"/>
      <c r="S295" s="95"/>
      <c r="T295" s="94"/>
      <c r="U295" s="127" t="s">
        <v>845</v>
      </c>
      <c r="V295" s="73">
        <f>$U$2-Table134[[#This Row],[Implementation Due Date]]</f>
        <v>0</v>
      </c>
      <c r="W295" s="15" t="s">
        <v>1808</v>
      </c>
      <c r="X295" s="15"/>
      <c r="Y295" s="26" t="s">
        <v>1866</v>
      </c>
      <c r="Z295" s="26"/>
    </row>
    <row r="296" spans="1:26" ht="179.4" x14ac:dyDescent="0.3">
      <c r="A296" s="15">
        <f t="shared" si="4"/>
        <v>293</v>
      </c>
      <c r="B296" s="15" t="s">
        <v>699</v>
      </c>
      <c r="C296" s="15" t="s">
        <v>699</v>
      </c>
      <c r="D296" s="15">
        <v>2025</v>
      </c>
      <c r="E296" s="15"/>
      <c r="F296" s="15" t="s">
        <v>731</v>
      </c>
      <c r="G296" s="15" t="s">
        <v>1050</v>
      </c>
      <c r="H296" s="102" t="s">
        <v>1867</v>
      </c>
      <c r="I296" s="63" t="s">
        <v>1868</v>
      </c>
      <c r="J296" s="25" t="s">
        <v>1869</v>
      </c>
      <c r="K296" s="70" t="s">
        <v>50</v>
      </c>
      <c r="L296" s="20" t="s">
        <v>55</v>
      </c>
      <c r="M296" s="118" t="s">
        <v>1865</v>
      </c>
      <c r="N296" s="111">
        <v>46203</v>
      </c>
      <c r="O296" s="111"/>
      <c r="P296" s="129" t="str">
        <f>TEXT(Table134[[#This Row],[Implementation Due Date]],"YYYY")</f>
        <v>2026</v>
      </c>
      <c r="Q296" s="130" t="str">
        <f>"Q"&amp;ROUNDUP(MONTH(Table134[[#This Row],[Implementation Due Date]])/3,0)</f>
        <v>Q2</v>
      </c>
      <c r="R296" s="98"/>
      <c r="S296" s="95"/>
      <c r="T296" s="94"/>
      <c r="U296" s="127" t="s">
        <v>845</v>
      </c>
      <c r="V296" s="73">
        <f>$U$2-Table134[[#This Row],[Implementation Due Date]]</f>
        <v>0</v>
      </c>
      <c r="W296" s="15" t="s">
        <v>1808</v>
      </c>
      <c r="X296" s="15"/>
      <c r="Y296" s="26" t="s">
        <v>1870</v>
      </c>
      <c r="Z296" s="26"/>
    </row>
    <row r="297" spans="1:26" ht="303.60000000000002" x14ac:dyDescent="0.3">
      <c r="A297" s="15">
        <f t="shared" si="4"/>
        <v>294</v>
      </c>
      <c r="B297" s="15" t="s">
        <v>699</v>
      </c>
      <c r="C297" s="15" t="s">
        <v>699</v>
      </c>
      <c r="D297" s="15">
        <v>2025</v>
      </c>
      <c r="E297" s="15"/>
      <c r="F297" s="15" t="s">
        <v>731</v>
      </c>
      <c r="G297" s="15" t="s">
        <v>1050</v>
      </c>
      <c r="H297" s="102" t="s">
        <v>1871</v>
      </c>
      <c r="I297" s="63" t="s">
        <v>1872</v>
      </c>
      <c r="J297" s="25" t="s">
        <v>1873</v>
      </c>
      <c r="K297" s="70" t="s">
        <v>50</v>
      </c>
      <c r="L297" s="20" t="s">
        <v>55</v>
      </c>
      <c r="M297" s="118" t="s">
        <v>1865</v>
      </c>
      <c r="N297" s="111">
        <v>46203</v>
      </c>
      <c r="O297" s="111"/>
      <c r="P297" s="129" t="str">
        <f>TEXT(Table134[[#This Row],[Implementation Due Date]],"YYYY")</f>
        <v>2026</v>
      </c>
      <c r="Q297" s="130" t="str">
        <f>"Q"&amp;ROUNDUP(MONTH(Table134[[#This Row],[Implementation Due Date]])/3,0)</f>
        <v>Q2</v>
      </c>
      <c r="R297" s="98"/>
      <c r="S297" s="95"/>
      <c r="T297" s="94"/>
      <c r="U297" s="127" t="s">
        <v>845</v>
      </c>
      <c r="V297" s="73">
        <f>$U$2-Table134[[#This Row],[Implementation Due Date]]</f>
        <v>0</v>
      </c>
      <c r="W297" s="15" t="s">
        <v>1808</v>
      </c>
      <c r="X297" s="15"/>
      <c r="Y297" s="26" t="s">
        <v>1874</v>
      </c>
      <c r="Z297" s="26"/>
    </row>
    <row r="298" spans="1:26" ht="207" x14ac:dyDescent="0.3">
      <c r="A298" s="15">
        <f t="shared" si="4"/>
        <v>295</v>
      </c>
      <c r="B298" s="15" t="s">
        <v>699</v>
      </c>
      <c r="C298" s="15" t="s">
        <v>699</v>
      </c>
      <c r="D298" s="15">
        <v>2025</v>
      </c>
      <c r="E298" s="15"/>
      <c r="F298" s="15" t="s">
        <v>731</v>
      </c>
      <c r="G298" s="15" t="s">
        <v>1050</v>
      </c>
      <c r="H298" s="102" t="s">
        <v>1875</v>
      </c>
      <c r="I298" s="63" t="s">
        <v>1876</v>
      </c>
      <c r="J298" s="25" t="s">
        <v>1877</v>
      </c>
      <c r="K298" s="70" t="s">
        <v>50</v>
      </c>
      <c r="L298" s="20" t="s">
        <v>55</v>
      </c>
      <c r="M298" s="118" t="s">
        <v>1865</v>
      </c>
      <c r="N298" s="111">
        <v>46203</v>
      </c>
      <c r="O298" s="111"/>
      <c r="P298" s="129" t="str">
        <f>TEXT(Table134[[#This Row],[Implementation Due Date]],"YYYY")</f>
        <v>2026</v>
      </c>
      <c r="Q298" s="130" t="str">
        <f>"Q"&amp;ROUNDUP(MONTH(Table134[[#This Row],[Implementation Due Date]])/3,0)</f>
        <v>Q2</v>
      </c>
      <c r="R298" s="98"/>
      <c r="S298" s="95"/>
      <c r="T298" s="94"/>
      <c r="U298" s="127" t="s">
        <v>845</v>
      </c>
      <c r="V298" s="73">
        <f>$U$2-Table134[[#This Row],[Implementation Due Date]]</f>
        <v>0</v>
      </c>
      <c r="W298" s="15" t="s">
        <v>1808</v>
      </c>
      <c r="X298" s="15"/>
      <c r="Y298" s="26" t="s">
        <v>1878</v>
      </c>
      <c r="Z298" s="26"/>
    </row>
    <row r="299" spans="1:26" ht="230.4" x14ac:dyDescent="0.3">
      <c r="A299" s="15">
        <f t="shared" si="4"/>
        <v>296</v>
      </c>
      <c r="B299" s="15" t="s">
        <v>699</v>
      </c>
      <c r="C299" s="15" t="s">
        <v>699</v>
      </c>
      <c r="D299" s="15">
        <v>2025</v>
      </c>
      <c r="E299" s="15"/>
      <c r="F299" s="15" t="s">
        <v>731</v>
      </c>
      <c r="G299" s="15" t="s">
        <v>1050</v>
      </c>
      <c r="H299" s="102" t="s">
        <v>1879</v>
      </c>
      <c r="I299" s="63" t="s">
        <v>1880</v>
      </c>
      <c r="J299" s="25" t="s">
        <v>1881</v>
      </c>
      <c r="K299" s="70" t="s">
        <v>50</v>
      </c>
      <c r="L299" s="20" t="s">
        <v>55</v>
      </c>
      <c r="M299" s="118" t="s">
        <v>1865</v>
      </c>
      <c r="N299" s="111">
        <v>46203</v>
      </c>
      <c r="O299" s="111"/>
      <c r="P299" s="129" t="str">
        <f>TEXT(Table134[[#This Row],[Implementation Due Date]],"YYYY")</f>
        <v>2026</v>
      </c>
      <c r="Q299" s="130" t="str">
        <f>"Q"&amp;ROUNDUP(MONTH(Table134[[#This Row],[Implementation Due Date]])/3,0)</f>
        <v>Q2</v>
      </c>
      <c r="R299" s="98"/>
      <c r="S299" s="95"/>
      <c r="T299" s="94"/>
      <c r="U299" s="127" t="s">
        <v>845</v>
      </c>
      <c r="V299" s="73">
        <f>$U$2-Table134[[#This Row],[Implementation Due Date]]</f>
        <v>0</v>
      </c>
      <c r="W299" s="15" t="s">
        <v>1808</v>
      </c>
      <c r="X299" s="15"/>
      <c r="Y299" s="26" t="s">
        <v>1882</v>
      </c>
      <c r="Z299" s="26"/>
    </row>
    <row r="300" spans="1:26" ht="158.4" x14ac:dyDescent="0.3">
      <c r="A300" s="15">
        <f t="shared" si="4"/>
        <v>297</v>
      </c>
      <c r="B300" s="15" t="s">
        <v>699</v>
      </c>
      <c r="C300" s="15" t="s">
        <v>699</v>
      </c>
      <c r="D300" s="15">
        <v>2025</v>
      </c>
      <c r="E300" s="15"/>
      <c r="F300" s="15" t="s">
        <v>731</v>
      </c>
      <c r="G300" s="15" t="s">
        <v>1050</v>
      </c>
      <c r="H300" s="102" t="s">
        <v>1883</v>
      </c>
      <c r="I300" s="63" t="s">
        <v>1884</v>
      </c>
      <c r="J300" s="25" t="s">
        <v>1885</v>
      </c>
      <c r="K300" s="70" t="s">
        <v>79</v>
      </c>
      <c r="L300" s="20" t="s">
        <v>55</v>
      </c>
      <c r="M300" s="118" t="s">
        <v>1865</v>
      </c>
      <c r="N300" s="111">
        <v>46203</v>
      </c>
      <c r="O300" s="111"/>
      <c r="P300" s="129" t="str">
        <f>TEXT(Table134[[#This Row],[Implementation Due Date]],"YYYY")</f>
        <v>2026</v>
      </c>
      <c r="Q300" s="130" t="str">
        <f>"Q"&amp;ROUNDUP(MONTH(Table134[[#This Row],[Implementation Due Date]])/3,0)</f>
        <v>Q2</v>
      </c>
      <c r="R300" s="98"/>
      <c r="S300" s="95"/>
      <c r="T300" s="94"/>
      <c r="U300" s="127" t="s">
        <v>845</v>
      </c>
      <c r="V300" s="73">
        <f>$U$2-Table134[[#This Row],[Implementation Due Date]]</f>
        <v>0</v>
      </c>
      <c r="W300" s="15" t="s">
        <v>1808</v>
      </c>
      <c r="X300" s="15"/>
      <c r="Y300" s="26" t="s">
        <v>1886</v>
      </c>
      <c r="Z300" s="26"/>
    </row>
    <row r="301" spans="1:26" ht="317.39999999999998" x14ac:dyDescent="0.3">
      <c r="A301" s="15">
        <f t="shared" si="4"/>
        <v>298</v>
      </c>
      <c r="B301" s="15" t="s">
        <v>699</v>
      </c>
      <c r="C301" s="15" t="s">
        <v>699</v>
      </c>
      <c r="D301" s="15">
        <v>2025</v>
      </c>
      <c r="E301" s="15"/>
      <c r="F301" s="15" t="s">
        <v>731</v>
      </c>
      <c r="G301" s="15" t="s">
        <v>1050</v>
      </c>
      <c r="H301" s="102" t="s">
        <v>1887</v>
      </c>
      <c r="I301" s="63" t="s">
        <v>1888</v>
      </c>
      <c r="J301" s="25" t="s">
        <v>1889</v>
      </c>
      <c r="K301" s="70" t="s">
        <v>79</v>
      </c>
      <c r="L301" s="20" t="s">
        <v>55</v>
      </c>
      <c r="M301" s="118" t="s">
        <v>1865</v>
      </c>
      <c r="N301" s="111">
        <v>46203</v>
      </c>
      <c r="O301" s="111"/>
      <c r="P301" s="129" t="str">
        <f>TEXT(Table134[[#This Row],[Implementation Due Date]],"YYYY")</f>
        <v>2026</v>
      </c>
      <c r="Q301" s="130" t="str">
        <f>"Q"&amp;ROUNDUP(MONTH(Table134[[#This Row],[Implementation Due Date]])/3,0)</f>
        <v>Q2</v>
      </c>
      <c r="R301" s="98"/>
      <c r="S301" s="95"/>
      <c r="T301" s="94"/>
      <c r="U301" s="127" t="s">
        <v>845</v>
      </c>
      <c r="V301" s="73">
        <f>$U$2-Table134[[#This Row],[Implementation Due Date]]</f>
        <v>0</v>
      </c>
      <c r="W301" s="15" t="s">
        <v>1808</v>
      </c>
      <c r="X301" s="15"/>
      <c r="Y301" s="26" t="s">
        <v>1890</v>
      </c>
      <c r="Z301" s="26"/>
    </row>
    <row r="302" spans="1:26" ht="400.2" x14ac:dyDescent="0.3">
      <c r="A302" s="15">
        <f t="shared" si="4"/>
        <v>299</v>
      </c>
      <c r="B302" s="15" t="s">
        <v>699</v>
      </c>
      <c r="C302" s="15" t="s">
        <v>699</v>
      </c>
      <c r="D302" s="15">
        <v>2025</v>
      </c>
      <c r="E302" s="15"/>
      <c r="F302" s="15" t="s">
        <v>700</v>
      </c>
      <c r="G302" s="15" t="s">
        <v>1050</v>
      </c>
      <c r="H302" s="102" t="s">
        <v>1891</v>
      </c>
      <c r="I302" s="63" t="s">
        <v>1892</v>
      </c>
      <c r="J302" s="25" t="s">
        <v>1893</v>
      </c>
      <c r="K302" s="70" t="s">
        <v>50</v>
      </c>
      <c r="L302" s="20" t="s">
        <v>26</v>
      </c>
      <c r="M302" s="118" t="s">
        <v>704</v>
      </c>
      <c r="N302" s="111">
        <v>46203</v>
      </c>
      <c r="O302" s="111"/>
      <c r="P302" s="129" t="str">
        <f>TEXT(Table134[[#This Row],[Implementation Due Date]],"YYYY")</f>
        <v>2026</v>
      </c>
      <c r="Q302" s="130" t="str">
        <f>"Q"&amp;ROUNDUP(MONTH(Table134[[#This Row],[Implementation Due Date]])/3,0)</f>
        <v>Q2</v>
      </c>
      <c r="R302" s="98"/>
      <c r="S302" s="95"/>
      <c r="T302" s="94"/>
      <c r="U302" s="127" t="s">
        <v>845</v>
      </c>
      <c r="V302" s="73">
        <f>$U$2-Table134[[#This Row],[Implementation Due Date]]</f>
        <v>0</v>
      </c>
      <c r="W302" s="15" t="s">
        <v>1808</v>
      </c>
      <c r="X302" s="15"/>
      <c r="Y302" s="26" t="s">
        <v>1894</v>
      </c>
      <c r="Z302" s="26"/>
    </row>
    <row r="303" spans="1:26" ht="409.6" x14ac:dyDescent="0.3">
      <c r="A303" s="15">
        <f t="shared" si="4"/>
        <v>300</v>
      </c>
      <c r="B303" s="15" t="s">
        <v>699</v>
      </c>
      <c r="C303" s="15" t="s">
        <v>699</v>
      </c>
      <c r="D303" s="15">
        <v>2025</v>
      </c>
      <c r="E303" s="15"/>
      <c r="F303" s="15" t="s">
        <v>700</v>
      </c>
      <c r="G303" s="15" t="s">
        <v>1050</v>
      </c>
      <c r="H303" s="102" t="s">
        <v>1895</v>
      </c>
      <c r="I303" s="63" t="s">
        <v>1896</v>
      </c>
      <c r="J303" s="25" t="s">
        <v>1897</v>
      </c>
      <c r="K303" s="70" t="s">
        <v>50</v>
      </c>
      <c r="L303" s="20" t="s">
        <v>55</v>
      </c>
      <c r="M303" s="118" t="s">
        <v>704</v>
      </c>
      <c r="N303" s="111">
        <v>46203</v>
      </c>
      <c r="O303" s="111"/>
      <c r="P303" s="129" t="str">
        <f>TEXT(Table134[[#This Row],[Implementation Due Date]],"YYYY")</f>
        <v>2026</v>
      </c>
      <c r="Q303" s="130" t="str">
        <f>"Q"&amp;ROUNDUP(MONTH(Table134[[#This Row],[Implementation Due Date]])/3,0)</f>
        <v>Q2</v>
      </c>
      <c r="R303" s="98"/>
      <c r="S303" s="95"/>
      <c r="T303" s="94"/>
      <c r="U303" s="127" t="s">
        <v>845</v>
      </c>
      <c r="V303" s="73">
        <f>$U$2-Table134[[#This Row],[Implementation Due Date]]</f>
        <v>0</v>
      </c>
      <c r="W303" s="15" t="s">
        <v>1808</v>
      </c>
      <c r="X303" s="15"/>
      <c r="Y303" s="26" t="s">
        <v>1898</v>
      </c>
      <c r="Z303" s="26"/>
    </row>
    <row r="304" spans="1:26" ht="262.2" x14ac:dyDescent="0.3">
      <c r="A304" s="15">
        <f t="shared" si="4"/>
        <v>301</v>
      </c>
      <c r="B304" s="15" t="s">
        <v>699</v>
      </c>
      <c r="C304" s="15" t="s">
        <v>699</v>
      </c>
      <c r="D304" s="15">
        <v>2025</v>
      </c>
      <c r="E304" s="15"/>
      <c r="F304" s="15" t="s">
        <v>700</v>
      </c>
      <c r="G304" s="15" t="s">
        <v>1050</v>
      </c>
      <c r="H304" s="102" t="s">
        <v>1899</v>
      </c>
      <c r="I304" s="63" t="s">
        <v>1900</v>
      </c>
      <c r="J304" s="25" t="s">
        <v>1901</v>
      </c>
      <c r="K304" s="70" t="s">
        <v>50</v>
      </c>
      <c r="L304" s="20" t="s">
        <v>55</v>
      </c>
      <c r="M304" s="118" t="s">
        <v>704</v>
      </c>
      <c r="N304" s="111">
        <v>46203</v>
      </c>
      <c r="O304" s="111"/>
      <c r="P304" s="129" t="str">
        <f>TEXT(Table134[[#This Row],[Implementation Due Date]],"YYYY")</f>
        <v>2026</v>
      </c>
      <c r="Q304" s="130" t="str">
        <f>"Q"&amp;ROUNDUP(MONTH(Table134[[#This Row],[Implementation Due Date]])/3,0)</f>
        <v>Q2</v>
      </c>
      <c r="R304" s="98"/>
      <c r="S304" s="95"/>
      <c r="T304" s="94"/>
      <c r="U304" s="127" t="s">
        <v>845</v>
      </c>
      <c r="V304" s="73">
        <f>$U$2-Table134[[#This Row],[Implementation Due Date]]</f>
        <v>0</v>
      </c>
      <c r="W304" s="15" t="s">
        <v>1808</v>
      </c>
      <c r="X304" s="15"/>
      <c r="Y304" s="26" t="s">
        <v>1902</v>
      </c>
      <c r="Z304" s="26"/>
    </row>
    <row r="305" spans="1:26" ht="165.6" x14ac:dyDescent="0.3">
      <c r="A305" s="15">
        <f t="shared" si="4"/>
        <v>302</v>
      </c>
      <c r="B305" s="15" t="s">
        <v>699</v>
      </c>
      <c r="C305" s="15" t="s">
        <v>699</v>
      </c>
      <c r="D305" s="15">
        <v>2025</v>
      </c>
      <c r="E305" s="15"/>
      <c r="F305" s="15" t="s">
        <v>700</v>
      </c>
      <c r="G305" s="15" t="s">
        <v>1050</v>
      </c>
      <c r="H305" s="102" t="s">
        <v>1903</v>
      </c>
      <c r="I305" s="63" t="s">
        <v>1904</v>
      </c>
      <c r="J305" s="25" t="s">
        <v>1905</v>
      </c>
      <c r="K305" s="70" t="s">
        <v>79</v>
      </c>
      <c r="L305" s="20" t="s">
        <v>55</v>
      </c>
      <c r="M305" s="118" t="s">
        <v>704</v>
      </c>
      <c r="N305" s="111">
        <v>46203</v>
      </c>
      <c r="O305" s="111"/>
      <c r="P305" s="129" t="str">
        <f>TEXT(Table134[[#This Row],[Implementation Due Date]],"YYYY")</f>
        <v>2026</v>
      </c>
      <c r="Q305" s="130" t="str">
        <f>"Q"&amp;ROUNDUP(MONTH(Table134[[#This Row],[Implementation Due Date]])/3,0)</f>
        <v>Q2</v>
      </c>
      <c r="R305" s="98"/>
      <c r="S305" s="95"/>
      <c r="T305" s="94"/>
      <c r="U305" s="127" t="s">
        <v>845</v>
      </c>
      <c r="V305" s="73">
        <f>$U$2-Table134[[#This Row],[Implementation Due Date]]</f>
        <v>0</v>
      </c>
      <c r="W305" s="15" t="s">
        <v>1808</v>
      </c>
      <c r="X305" s="15"/>
      <c r="Y305" s="26" t="s">
        <v>1906</v>
      </c>
      <c r="Z305" s="26"/>
    </row>
    <row r="306" spans="1:26" ht="409.6" x14ac:dyDescent="0.3">
      <c r="A306" s="15">
        <f t="shared" si="4"/>
        <v>303</v>
      </c>
      <c r="B306" s="15" t="s">
        <v>699</v>
      </c>
      <c r="C306" s="15" t="s">
        <v>699</v>
      </c>
      <c r="D306" s="15">
        <v>2025</v>
      </c>
      <c r="E306" s="15"/>
      <c r="F306" s="15" t="s">
        <v>700</v>
      </c>
      <c r="G306" s="15" t="s">
        <v>1050</v>
      </c>
      <c r="H306" s="102" t="s">
        <v>1907</v>
      </c>
      <c r="I306" s="63" t="s">
        <v>1908</v>
      </c>
      <c r="J306" s="25" t="s">
        <v>1909</v>
      </c>
      <c r="K306" s="70" t="s">
        <v>79</v>
      </c>
      <c r="L306" s="20" t="s">
        <v>55</v>
      </c>
      <c r="M306" s="118" t="s">
        <v>704</v>
      </c>
      <c r="N306" s="111">
        <v>46203</v>
      </c>
      <c r="O306" s="111"/>
      <c r="P306" s="129" t="str">
        <f>TEXT(Table134[[#This Row],[Implementation Due Date]],"YYYY")</f>
        <v>2026</v>
      </c>
      <c r="Q306" s="130" t="str">
        <f>"Q"&amp;ROUNDUP(MONTH(Table134[[#This Row],[Implementation Due Date]])/3,0)</f>
        <v>Q2</v>
      </c>
      <c r="R306" s="98"/>
      <c r="S306" s="95"/>
      <c r="T306" s="94"/>
      <c r="U306" s="127" t="s">
        <v>845</v>
      </c>
      <c r="V306" s="73">
        <f>$U$2-Table134[[#This Row],[Implementation Due Date]]</f>
        <v>0</v>
      </c>
      <c r="W306" s="15" t="s">
        <v>1808</v>
      </c>
      <c r="X306" s="15"/>
      <c r="Y306" s="26" t="s">
        <v>1910</v>
      </c>
      <c r="Z306" s="26"/>
    </row>
    <row r="307" spans="1:26" ht="177.6" customHeight="1" x14ac:dyDescent="0.3">
      <c r="A307" s="15">
        <f t="shared" ref="A307:A320" si="5">ROW(A307)-3</f>
        <v>304</v>
      </c>
      <c r="B307" s="15" t="s">
        <v>699</v>
      </c>
      <c r="C307" s="15" t="s">
        <v>699</v>
      </c>
      <c r="D307" s="15">
        <v>2025</v>
      </c>
      <c r="E307" s="15"/>
      <c r="F307" s="15" t="s">
        <v>227</v>
      </c>
      <c r="G307" s="15" t="s">
        <v>1050</v>
      </c>
      <c r="H307" s="102" t="s">
        <v>1911</v>
      </c>
      <c r="I307" s="63" t="s">
        <v>1912</v>
      </c>
      <c r="J307" s="25" t="s">
        <v>1913</v>
      </c>
      <c r="K307" s="70" t="s">
        <v>50</v>
      </c>
      <c r="L307" s="20" t="s">
        <v>55</v>
      </c>
      <c r="M307" s="118" t="s">
        <v>1914</v>
      </c>
      <c r="N307" s="111">
        <v>46203</v>
      </c>
      <c r="O307" s="111"/>
      <c r="P307" s="129" t="str">
        <f>TEXT(Table134[[#This Row],[Implementation Due Date]],"YYYY")</f>
        <v>2026</v>
      </c>
      <c r="Q307" s="130" t="str">
        <f>"Q"&amp;ROUNDUP(MONTH(Table134[[#This Row],[Implementation Due Date]])/3,0)</f>
        <v>Q2</v>
      </c>
      <c r="R307" s="98"/>
      <c r="S307" s="95"/>
      <c r="T307" s="94"/>
      <c r="U307" s="127" t="s">
        <v>845</v>
      </c>
      <c r="V307" s="73">
        <f>$U$2-Table134[[#This Row],[Implementation Due Date]]</f>
        <v>0</v>
      </c>
      <c r="W307" s="15" t="s">
        <v>1808</v>
      </c>
      <c r="X307" s="15"/>
      <c r="Y307" s="26" t="s">
        <v>1915</v>
      </c>
      <c r="Z307" s="26"/>
    </row>
    <row r="308" spans="1:26" ht="216.6" customHeight="1" x14ac:dyDescent="0.3">
      <c r="A308" s="15">
        <f t="shared" si="5"/>
        <v>305</v>
      </c>
      <c r="B308" s="15" t="s">
        <v>699</v>
      </c>
      <c r="C308" s="15" t="s">
        <v>699</v>
      </c>
      <c r="D308" s="15">
        <v>2025</v>
      </c>
      <c r="E308" s="15"/>
      <c r="F308" s="15" t="s">
        <v>227</v>
      </c>
      <c r="G308" s="15" t="s">
        <v>1050</v>
      </c>
      <c r="H308" s="102" t="s">
        <v>1916</v>
      </c>
      <c r="I308" s="63" t="s">
        <v>1917</v>
      </c>
      <c r="J308" s="25" t="s">
        <v>1918</v>
      </c>
      <c r="K308" s="70" t="s">
        <v>50</v>
      </c>
      <c r="L308" s="20" t="s">
        <v>844</v>
      </c>
      <c r="M308" s="118" t="s">
        <v>1914</v>
      </c>
      <c r="N308" s="111">
        <v>46203</v>
      </c>
      <c r="O308" s="111"/>
      <c r="P308" s="129" t="str">
        <f>TEXT(Table134[[#This Row],[Implementation Due Date]],"YYYY")</f>
        <v>2026</v>
      </c>
      <c r="Q308" s="130" t="str">
        <f>"Q"&amp;ROUNDUP(MONTH(Table134[[#This Row],[Implementation Due Date]])/3,0)</f>
        <v>Q2</v>
      </c>
      <c r="R308" s="98"/>
      <c r="S308" s="95"/>
      <c r="T308" s="94"/>
      <c r="U308" s="127" t="s">
        <v>845</v>
      </c>
      <c r="V308" s="73">
        <f>$U$2-Table134[[#This Row],[Implementation Due Date]]</f>
        <v>0</v>
      </c>
      <c r="W308" s="15" t="s">
        <v>1808</v>
      </c>
      <c r="X308" s="15"/>
      <c r="Y308" s="26" t="s">
        <v>1919</v>
      </c>
      <c r="Z308" s="26"/>
    </row>
    <row r="309" spans="1:26" ht="216" x14ac:dyDescent="0.3">
      <c r="A309" s="15">
        <f t="shared" si="5"/>
        <v>306</v>
      </c>
      <c r="B309" s="15" t="s">
        <v>699</v>
      </c>
      <c r="C309" s="15" t="s">
        <v>699</v>
      </c>
      <c r="D309" s="15">
        <v>2025</v>
      </c>
      <c r="E309" s="15"/>
      <c r="F309" s="15" t="s">
        <v>227</v>
      </c>
      <c r="G309" s="15" t="s">
        <v>1050</v>
      </c>
      <c r="H309" s="102" t="s">
        <v>1920</v>
      </c>
      <c r="I309" s="63" t="s">
        <v>1921</v>
      </c>
      <c r="J309" s="25" t="s">
        <v>1922</v>
      </c>
      <c r="K309" s="69" t="s">
        <v>79</v>
      </c>
      <c r="L309" s="75" t="s">
        <v>55</v>
      </c>
      <c r="M309" s="118" t="s">
        <v>1914</v>
      </c>
      <c r="N309" s="111">
        <v>46203</v>
      </c>
      <c r="O309" s="111"/>
      <c r="P309" s="129" t="str">
        <f>TEXT(Table134[[#This Row],[Implementation Due Date]],"YYYY")</f>
        <v>2026</v>
      </c>
      <c r="Q309" s="130" t="str">
        <f>"Q"&amp;ROUNDUP(MONTH(Table134[[#This Row],[Implementation Due Date]])/3,0)</f>
        <v>Q2</v>
      </c>
      <c r="R309" s="98"/>
      <c r="S309" s="95"/>
      <c r="T309" s="94"/>
      <c r="U309" s="127" t="s">
        <v>845</v>
      </c>
      <c r="V309" s="73">
        <f>$U$2-Table134[[#This Row],[Implementation Due Date]]</f>
        <v>0</v>
      </c>
      <c r="W309" s="15" t="s">
        <v>1808</v>
      </c>
      <c r="X309" s="15"/>
      <c r="Y309" s="26" t="s">
        <v>1923</v>
      </c>
      <c r="Z309" s="26"/>
    </row>
    <row r="310" spans="1:26" ht="216" x14ac:dyDescent="0.3">
      <c r="A310" s="15">
        <f t="shared" si="5"/>
        <v>307</v>
      </c>
      <c r="B310" s="15" t="s">
        <v>699</v>
      </c>
      <c r="C310" s="15" t="s">
        <v>699</v>
      </c>
      <c r="D310" s="15">
        <v>2025</v>
      </c>
      <c r="E310" s="15"/>
      <c r="F310" s="15" t="s">
        <v>406</v>
      </c>
      <c r="G310" s="16" t="s">
        <v>875</v>
      </c>
      <c r="H310" s="102" t="s">
        <v>1924</v>
      </c>
      <c r="I310" s="63" t="s">
        <v>1925</v>
      </c>
      <c r="J310" s="25" t="s">
        <v>1926</v>
      </c>
      <c r="K310" s="70" t="s">
        <v>50</v>
      </c>
      <c r="L310" s="20" t="s">
        <v>26</v>
      </c>
      <c r="M310" s="118" t="s">
        <v>809</v>
      </c>
      <c r="N310" s="111">
        <v>46295</v>
      </c>
      <c r="O310" s="129" t="s">
        <v>890</v>
      </c>
      <c r="P310" s="129" t="str">
        <f>TEXT(Table134[[#This Row],[Implementation Due Date]],"YYYY")</f>
        <v>2026</v>
      </c>
      <c r="Q310" s="130" t="str">
        <f>"Q"&amp;ROUNDUP(MONTH(Table134[[#This Row],[Implementation Due Date]])/3,0)</f>
        <v>Q3</v>
      </c>
      <c r="R310" s="98"/>
      <c r="S310" s="95"/>
      <c r="T310" s="94"/>
      <c r="U310" s="124" t="s">
        <v>1927</v>
      </c>
      <c r="V310" s="73"/>
      <c r="W310" s="15"/>
      <c r="X310" s="15"/>
      <c r="Y310" s="26"/>
      <c r="Z310" s="26"/>
    </row>
    <row r="311" spans="1:26" ht="158.4" x14ac:dyDescent="0.3">
      <c r="A311" s="15">
        <f t="shared" si="5"/>
        <v>308</v>
      </c>
      <c r="B311" s="15" t="s">
        <v>699</v>
      </c>
      <c r="C311" s="15" t="s">
        <v>699</v>
      </c>
      <c r="D311" s="15">
        <v>2025</v>
      </c>
      <c r="E311" s="15"/>
      <c r="F311" s="15" t="s">
        <v>406</v>
      </c>
      <c r="G311" s="16" t="s">
        <v>875</v>
      </c>
      <c r="H311" s="102" t="s">
        <v>1928</v>
      </c>
      <c r="I311" s="63" t="s">
        <v>1929</v>
      </c>
      <c r="J311" s="25" t="s">
        <v>1930</v>
      </c>
      <c r="K311" s="70" t="s">
        <v>50</v>
      </c>
      <c r="L311" s="20" t="s">
        <v>55</v>
      </c>
      <c r="M311" s="118" t="s">
        <v>809</v>
      </c>
      <c r="N311" s="111">
        <v>46295</v>
      </c>
      <c r="O311" s="129" t="s">
        <v>890</v>
      </c>
      <c r="P311" s="129" t="str">
        <f>TEXT(Table134[[#This Row],[Implementation Due Date]],"YYYY")</f>
        <v>2026</v>
      </c>
      <c r="Q311" s="130" t="str">
        <f>"Q"&amp;ROUNDUP(MONTH(Table134[[#This Row],[Implementation Due Date]])/3,0)</f>
        <v>Q3</v>
      </c>
      <c r="R311" s="98"/>
      <c r="S311" s="95"/>
      <c r="T311" s="94"/>
      <c r="U311" s="124" t="s">
        <v>1927</v>
      </c>
      <c r="V311" s="73"/>
      <c r="W311" s="15"/>
      <c r="X311" s="15"/>
      <c r="Y311" s="26"/>
      <c r="Z311" s="26"/>
    </row>
    <row r="312" spans="1:26" ht="331.2" x14ac:dyDescent="0.3">
      <c r="A312" s="15">
        <f t="shared" si="5"/>
        <v>309</v>
      </c>
      <c r="B312" s="15" t="s">
        <v>699</v>
      </c>
      <c r="C312" s="15" t="s">
        <v>699</v>
      </c>
      <c r="D312" s="15">
        <v>2025</v>
      </c>
      <c r="E312" s="15"/>
      <c r="F312" s="15" t="s">
        <v>406</v>
      </c>
      <c r="G312" s="16" t="s">
        <v>875</v>
      </c>
      <c r="H312" s="102" t="s">
        <v>1931</v>
      </c>
      <c r="I312" s="63" t="s">
        <v>1932</v>
      </c>
      <c r="J312" s="25" t="s">
        <v>1933</v>
      </c>
      <c r="K312" s="70" t="s">
        <v>50</v>
      </c>
      <c r="L312" s="20" t="s">
        <v>55</v>
      </c>
      <c r="M312" s="118" t="s">
        <v>809</v>
      </c>
      <c r="N312" s="111">
        <v>46295</v>
      </c>
      <c r="O312" s="129" t="s">
        <v>890</v>
      </c>
      <c r="P312" s="129" t="str">
        <f>TEXT(Table134[[#This Row],[Implementation Due Date]],"YYYY")</f>
        <v>2026</v>
      </c>
      <c r="Q312" s="130" t="str">
        <f>"Q"&amp;ROUNDUP(MONTH(Table134[[#This Row],[Implementation Due Date]])/3,0)</f>
        <v>Q3</v>
      </c>
      <c r="R312" s="98"/>
      <c r="S312" s="95"/>
      <c r="T312" s="94"/>
      <c r="U312" s="124" t="s">
        <v>1927</v>
      </c>
      <c r="V312" s="73"/>
      <c r="W312" s="15"/>
      <c r="X312" s="15"/>
      <c r="Y312" s="26"/>
      <c r="Z312" s="26"/>
    </row>
    <row r="313" spans="1:26" ht="288" x14ac:dyDescent="0.3">
      <c r="A313" s="15">
        <f t="shared" si="5"/>
        <v>310</v>
      </c>
      <c r="B313" s="15" t="s">
        <v>699</v>
      </c>
      <c r="C313" s="15" t="s">
        <v>699</v>
      </c>
      <c r="D313" s="15">
        <v>2025</v>
      </c>
      <c r="E313" s="15"/>
      <c r="F313" s="15" t="s">
        <v>406</v>
      </c>
      <c r="G313" s="16" t="s">
        <v>875</v>
      </c>
      <c r="H313" s="102" t="s">
        <v>1934</v>
      </c>
      <c r="I313" s="63" t="s">
        <v>1935</v>
      </c>
      <c r="J313" s="25" t="s">
        <v>1936</v>
      </c>
      <c r="K313" s="70" t="s">
        <v>50</v>
      </c>
      <c r="L313" s="20" t="s">
        <v>55</v>
      </c>
      <c r="M313" s="118" t="s">
        <v>809</v>
      </c>
      <c r="N313" s="111">
        <v>46295</v>
      </c>
      <c r="O313" s="129" t="s">
        <v>890</v>
      </c>
      <c r="P313" s="129" t="str">
        <f>TEXT(Table134[[#This Row],[Implementation Due Date]],"YYYY")</f>
        <v>2026</v>
      </c>
      <c r="Q313" s="130" t="str">
        <f>"Q"&amp;ROUNDUP(MONTH(Table134[[#This Row],[Implementation Due Date]])/3,0)</f>
        <v>Q3</v>
      </c>
      <c r="R313" s="98"/>
      <c r="S313" s="95"/>
      <c r="T313" s="94"/>
      <c r="U313" s="124" t="s">
        <v>1927</v>
      </c>
      <c r="V313" s="73"/>
      <c r="W313" s="15"/>
      <c r="X313" s="15"/>
      <c r="Y313" s="26"/>
      <c r="Z313" s="26"/>
    </row>
    <row r="314" spans="1:26" ht="273.60000000000002" x14ac:dyDescent="0.3">
      <c r="A314" s="15">
        <f t="shared" si="5"/>
        <v>311</v>
      </c>
      <c r="B314" s="15" t="s">
        <v>699</v>
      </c>
      <c r="C314" s="15" t="s">
        <v>699</v>
      </c>
      <c r="D314" s="15">
        <v>2025</v>
      </c>
      <c r="E314" s="15"/>
      <c r="F314" s="15" t="s">
        <v>406</v>
      </c>
      <c r="G314" s="16" t="s">
        <v>875</v>
      </c>
      <c r="H314" s="102" t="s">
        <v>1937</v>
      </c>
      <c r="I314" s="63" t="s">
        <v>1938</v>
      </c>
      <c r="J314" s="25" t="s">
        <v>1939</v>
      </c>
      <c r="K314" s="70" t="s">
        <v>50</v>
      </c>
      <c r="L314" s="20" t="s">
        <v>55</v>
      </c>
      <c r="M314" s="118" t="s">
        <v>809</v>
      </c>
      <c r="N314" s="111">
        <v>46295</v>
      </c>
      <c r="O314" s="129" t="s">
        <v>890</v>
      </c>
      <c r="P314" s="129" t="str">
        <f>TEXT(Table134[[#This Row],[Implementation Due Date]],"YYYY")</f>
        <v>2026</v>
      </c>
      <c r="Q314" s="130" t="str">
        <f>"Q"&amp;ROUNDUP(MONTH(Table134[[#This Row],[Implementation Due Date]])/3,0)</f>
        <v>Q3</v>
      </c>
      <c r="R314" s="98"/>
      <c r="S314" s="95"/>
      <c r="T314" s="94"/>
      <c r="U314" s="124" t="s">
        <v>1927</v>
      </c>
      <c r="V314" s="73"/>
      <c r="W314" s="15"/>
      <c r="X314" s="15"/>
      <c r="Y314" s="26"/>
      <c r="Z314" s="26"/>
    </row>
    <row r="315" spans="1:26" ht="345.6" x14ac:dyDescent="0.3">
      <c r="A315" s="15">
        <f t="shared" si="5"/>
        <v>312</v>
      </c>
      <c r="B315" s="15" t="s">
        <v>699</v>
      </c>
      <c r="C315" s="15" t="s">
        <v>699</v>
      </c>
      <c r="D315" s="15">
        <v>2025</v>
      </c>
      <c r="E315" s="15"/>
      <c r="F315" s="15" t="s">
        <v>406</v>
      </c>
      <c r="G315" s="16" t="s">
        <v>875</v>
      </c>
      <c r="H315" s="102" t="s">
        <v>1940</v>
      </c>
      <c r="I315" s="63" t="s">
        <v>1941</v>
      </c>
      <c r="J315" s="25" t="s">
        <v>1942</v>
      </c>
      <c r="K315" s="70" t="s">
        <v>50</v>
      </c>
      <c r="L315" s="20" t="s">
        <v>74</v>
      </c>
      <c r="M315" s="118" t="s">
        <v>809</v>
      </c>
      <c r="N315" s="111">
        <v>46295</v>
      </c>
      <c r="O315" s="129" t="s">
        <v>890</v>
      </c>
      <c r="P315" s="129" t="str">
        <f>TEXT(Table134[[#This Row],[Implementation Due Date]],"YYYY")</f>
        <v>2026</v>
      </c>
      <c r="Q315" s="130" t="str">
        <f>"Q"&amp;ROUNDUP(MONTH(Table134[[#This Row],[Implementation Due Date]])/3,0)</f>
        <v>Q3</v>
      </c>
      <c r="R315" s="98"/>
      <c r="S315" s="95"/>
      <c r="T315" s="94"/>
      <c r="U315" s="124" t="s">
        <v>1927</v>
      </c>
      <c r="V315" s="73"/>
      <c r="W315" s="15"/>
      <c r="X315" s="15"/>
      <c r="Y315" s="26"/>
      <c r="Z315" s="26"/>
    </row>
    <row r="316" spans="1:26" ht="172.8" x14ac:dyDescent="0.3">
      <c r="A316" s="15">
        <f t="shared" si="5"/>
        <v>313</v>
      </c>
      <c r="B316" s="15" t="s">
        <v>699</v>
      </c>
      <c r="C316" s="15" t="s">
        <v>699</v>
      </c>
      <c r="D316" s="15">
        <v>2025</v>
      </c>
      <c r="E316" s="15"/>
      <c r="F316" s="15" t="s">
        <v>406</v>
      </c>
      <c r="G316" s="16" t="s">
        <v>875</v>
      </c>
      <c r="H316" s="102" t="s">
        <v>1943</v>
      </c>
      <c r="I316" s="63" t="s">
        <v>1944</v>
      </c>
      <c r="J316" s="25" t="s">
        <v>1945</v>
      </c>
      <c r="K316" s="70" t="s">
        <v>50</v>
      </c>
      <c r="L316" s="20" t="s">
        <v>74</v>
      </c>
      <c r="M316" s="118" t="s">
        <v>809</v>
      </c>
      <c r="N316" s="111">
        <v>46295</v>
      </c>
      <c r="O316" s="129" t="s">
        <v>890</v>
      </c>
      <c r="P316" s="129" t="str">
        <f>TEXT(Table134[[#This Row],[Implementation Due Date]],"YYYY")</f>
        <v>2026</v>
      </c>
      <c r="Q316" s="130" t="str">
        <f>"Q"&amp;ROUNDUP(MONTH(Table134[[#This Row],[Implementation Due Date]])/3,0)</f>
        <v>Q3</v>
      </c>
      <c r="R316" s="98"/>
      <c r="S316" s="95"/>
      <c r="T316" s="94"/>
      <c r="U316" s="124" t="s">
        <v>1927</v>
      </c>
      <c r="V316" s="73"/>
      <c r="W316" s="15"/>
      <c r="X316" s="15"/>
      <c r="Y316" s="26"/>
      <c r="Z316" s="26"/>
    </row>
    <row r="317" spans="1:26" ht="193.2" x14ac:dyDescent="0.3">
      <c r="A317" s="15">
        <f t="shared" si="5"/>
        <v>314</v>
      </c>
      <c r="B317" s="15" t="s">
        <v>699</v>
      </c>
      <c r="C317" s="15" t="s">
        <v>699</v>
      </c>
      <c r="D317" s="15">
        <v>2025</v>
      </c>
      <c r="E317" s="15"/>
      <c r="F317" s="15" t="s">
        <v>227</v>
      </c>
      <c r="G317" s="16" t="s">
        <v>875</v>
      </c>
      <c r="H317" s="102" t="s">
        <v>1946</v>
      </c>
      <c r="I317" s="63" t="s">
        <v>1947</v>
      </c>
      <c r="J317" s="25" t="s">
        <v>1948</v>
      </c>
      <c r="K317" s="70" t="s">
        <v>50</v>
      </c>
      <c r="L317" s="20" t="s">
        <v>55</v>
      </c>
      <c r="M317" s="118" t="s">
        <v>820</v>
      </c>
      <c r="N317" s="111">
        <v>46387</v>
      </c>
      <c r="O317" s="129" t="s">
        <v>890</v>
      </c>
      <c r="P317" s="129" t="str">
        <f>TEXT(Table134[[#This Row],[Implementation Due Date]],"YYYY")</f>
        <v>2026</v>
      </c>
      <c r="Q317" s="130" t="str">
        <f>"Q"&amp;ROUNDUP(MONTH(Table134[[#This Row],[Implementation Due Date]])/3,0)</f>
        <v>Q4</v>
      </c>
      <c r="R317" s="98"/>
      <c r="S317" s="95"/>
      <c r="T317" s="94"/>
      <c r="U317" s="124" t="s">
        <v>1927</v>
      </c>
      <c r="V317" s="73"/>
      <c r="W317" s="15"/>
      <c r="X317" s="15"/>
      <c r="Y317" s="26"/>
      <c r="Z317" s="26"/>
    </row>
    <row r="318" spans="1:26" ht="220.8" x14ac:dyDescent="0.3">
      <c r="A318" s="15">
        <f t="shared" si="5"/>
        <v>315</v>
      </c>
      <c r="B318" s="15" t="s">
        <v>699</v>
      </c>
      <c r="C318" s="15" t="s">
        <v>699</v>
      </c>
      <c r="D318" s="15">
        <v>2025</v>
      </c>
      <c r="E318" s="15"/>
      <c r="F318" s="15" t="s">
        <v>227</v>
      </c>
      <c r="G318" s="16" t="s">
        <v>875</v>
      </c>
      <c r="H318" s="102" t="s">
        <v>1949</v>
      </c>
      <c r="I318" s="63" t="s">
        <v>1950</v>
      </c>
      <c r="J318" s="25" t="s">
        <v>1951</v>
      </c>
      <c r="K318" s="70" t="s">
        <v>50</v>
      </c>
      <c r="L318" s="20" t="s">
        <v>55</v>
      </c>
      <c r="M318" s="118" t="s">
        <v>820</v>
      </c>
      <c r="N318" s="111">
        <v>46387</v>
      </c>
      <c r="O318" s="129" t="s">
        <v>890</v>
      </c>
      <c r="P318" s="129" t="str">
        <f>TEXT(Table134[[#This Row],[Implementation Due Date]],"YYYY")</f>
        <v>2026</v>
      </c>
      <c r="Q318" s="130" t="str">
        <f>"Q"&amp;ROUNDUP(MONTH(Table134[[#This Row],[Implementation Due Date]])/3,0)</f>
        <v>Q4</v>
      </c>
      <c r="R318" s="98"/>
      <c r="S318" s="95"/>
      <c r="T318" s="94"/>
      <c r="U318" s="124" t="s">
        <v>1927</v>
      </c>
      <c r="V318" s="73"/>
      <c r="W318" s="15"/>
      <c r="X318" s="15"/>
      <c r="Y318" s="26"/>
      <c r="Z318" s="26"/>
    </row>
    <row r="319" spans="1:26" ht="100.8" x14ac:dyDescent="0.3">
      <c r="A319" s="15">
        <f t="shared" si="5"/>
        <v>316</v>
      </c>
      <c r="B319" s="15" t="s">
        <v>699</v>
      </c>
      <c r="C319" s="15" t="s">
        <v>699</v>
      </c>
      <c r="D319" s="15">
        <v>2025</v>
      </c>
      <c r="E319" s="15"/>
      <c r="F319" s="15" t="s">
        <v>227</v>
      </c>
      <c r="G319" s="16" t="s">
        <v>875</v>
      </c>
      <c r="H319" s="102" t="s">
        <v>1952</v>
      </c>
      <c r="I319" s="63" t="s">
        <v>1953</v>
      </c>
      <c r="J319" s="25" t="s">
        <v>1954</v>
      </c>
      <c r="K319" s="70" t="s">
        <v>50</v>
      </c>
      <c r="L319" s="20" t="s">
        <v>55</v>
      </c>
      <c r="M319" s="118" t="s">
        <v>820</v>
      </c>
      <c r="N319" s="111">
        <v>46387</v>
      </c>
      <c r="O319" s="129" t="s">
        <v>890</v>
      </c>
      <c r="P319" s="129" t="str">
        <f>TEXT(Table134[[#This Row],[Implementation Due Date]],"YYYY")</f>
        <v>2026</v>
      </c>
      <c r="Q319" s="130" t="str">
        <f>"Q"&amp;ROUNDUP(MONTH(Table134[[#This Row],[Implementation Due Date]])/3,0)</f>
        <v>Q4</v>
      </c>
      <c r="R319" s="98"/>
      <c r="S319" s="95"/>
      <c r="T319" s="94"/>
      <c r="U319" s="124" t="s">
        <v>1927</v>
      </c>
      <c r="V319" s="73"/>
      <c r="W319" s="15"/>
      <c r="X319" s="15"/>
      <c r="Y319" s="26"/>
      <c r="Z319" s="26"/>
    </row>
    <row r="320" spans="1:26" ht="207" x14ac:dyDescent="0.3">
      <c r="A320" s="15">
        <f t="shared" si="5"/>
        <v>317</v>
      </c>
      <c r="B320" s="15" t="s">
        <v>699</v>
      </c>
      <c r="C320" s="15" t="s">
        <v>699</v>
      </c>
      <c r="D320" s="15">
        <v>2025</v>
      </c>
      <c r="E320" s="15"/>
      <c r="F320" s="15" t="s">
        <v>227</v>
      </c>
      <c r="G320" s="16" t="s">
        <v>875</v>
      </c>
      <c r="H320" s="102" t="s">
        <v>1955</v>
      </c>
      <c r="I320" s="63" t="s">
        <v>1956</v>
      </c>
      <c r="J320" s="25" t="s">
        <v>1957</v>
      </c>
      <c r="K320" s="70" t="s">
        <v>79</v>
      </c>
      <c r="L320" s="20" t="s">
        <v>55</v>
      </c>
      <c r="M320" s="118" t="s">
        <v>820</v>
      </c>
      <c r="N320" s="111">
        <v>46507</v>
      </c>
      <c r="O320" s="129" t="s">
        <v>890</v>
      </c>
      <c r="P320" s="129" t="str">
        <f>TEXT(Table134[[#This Row],[Implementation Due Date]],"YYYY")</f>
        <v>2027</v>
      </c>
      <c r="Q320" s="130" t="str">
        <f>"Q"&amp;ROUNDUP(MONTH(Table134[[#This Row],[Implementation Due Date]])/3,0)</f>
        <v>Q2</v>
      </c>
      <c r="R320" s="98"/>
      <c r="S320" s="95"/>
      <c r="T320" s="94"/>
      <c r="U320" s="124" t="s">
        <v>1927</v>
      </c>
      <c r="V320" s="73"/>
      <c r="W320" s="15"/>
      <c r="X320" s="15"/>
      <c r="Y320" s="26"/>
      <c r="Z320" s="26"/>
    </row>
  </sheetData>
  <conditionalFormatting sqref="K4:K32">
    <cfRule type="colorScale" priority="26">
      <colorScale>
        <cfvo type="min"/>
        <cfvo type="percentile" val="50"/>
        <cfvo type="max"/>
        <color rgb="FFF8696B"/>
        <color rgb="FFFFEB84"/>
        <color rgb="FF63BE7B"/>
      </colorScale>
    </cfRule>
  </conditionalFormatting>
  <conditionalFormatting sqref="K4:K320">
    <cfRule type="cellIs" dxfId="3" priority="4" operator="equal">
      <formula>"low"</formula>
    </cfRule>
    <cfRule type="cellIs" dxfId="2" priority="5" operator="equal">
      <formula>"Medium"</formula>
    </cfRule>
    <cfRule type="cellIs" dxfId="1" priority="6" operator="equal">
      <formula>"high"</formula>
    </cfRule>
    <cfRule type="cellIs" dxfId="0" priority="7" operator="equal">
      <formula>"critical"</formula>
    </cfRule>
  </conditionalFormatting>
  <conditionalFormatting sqref="K33:K38 K40:K41">
    <cfRule type="colorScale" priority="25">
      <colorScale>
        <cfvo type="min"/>
        <cfvo type="percentile" val="50"/>
        <cfvo type="max"/>
        <color rgb="FFF8696B"/>
        <color rgb="FFFFEB84"/>
        <color rgb="FF63BE7B"/>
      </colorScale>
    </cfRule>
  </conditionalFormatting>
  <conditionalFormatting sqref="K39">
    <cfRule type="colorScale" priority="9">
      <colorScale>
        <cfvo type="min"/>
        <cfvo type="percentile" val="50"/>
        <cfvo type="max"/>
        <color rgb="FFF8696B"/>
        <color rgb="FFFFEB84"/>
        <color rgb="FF63BE7B"/>
      </colorScale>
    </cfRule>
  </conditionalFormatting>
  <conditionalFormatting sqref="K43">
    <cfRule type="colorScale" priority="24">
      <colorScale>
        <cfvo type="min"/>
        <cfvo type="percentile" val="50"/>
        <cfvo type="max"/>
        <color rgb="FFF8696B"/>
        <color rgb="FFFFEB84"/>
        <color rgb="FF63BE7B"/>
      </colorScale>
    </cfRule>
  </conditionalFormatting>
  <conditionalFormatting sqref="K44:K47">
    <cfRule type="colorScale" priority="23">
      <colorScale>
        <cfvo type="min"/>
        <cfvo type="percentile" val="50"/>
        <cfvo type="max"/>
        <color rgb="FFF8696B"/>
        <color rgb="FFFFEB84"/>
        <color rgb="FF63BE7B"/>
      </colorScale>
    </cfRule>
  </conditionalFormatting>
  <conditionalFormatting sqref="K50:K60">
    <cfRule type="colorScale" priority="22">
      <colorScale>
        <cfvo type="min"/>
        <cfvo type="percentile" val="50"/>
        <cfvo type="max"/>
        <color rgb="FFF8696B"/>
        <color rgb="FFFFEB84"/>
        <color rgb="FF63BE7B"/>
      </colorScale>
    </cfRule>
  </conditionalFormatting>
  <conditionalFormatting sqref="K62:K63">
    <cfRule type="colorScale" priority="21">
      <colorScale>
        <cfvo type="min"/>
        <cfvo type="percentile" val="50"/>
        <cfvo type="max"/>
        <color rgb="FFF8696B"/>
        <color rgb="FFFFEB84"/>
        <color rgb="FF63BE7B"/>
      </colorScale>
    </cfRule>
  </conditionalFormatting>
  <conditionalFormatting sqref="K66:K67">
    <cfRule type="colorScale" priority="20">
      <colorScale>
        <cfvo type="min"/>
        <cfvo type="percentile" val="50"/>
        <cfvo type="max"/>
        <color rgb="FFF8696B"/>
        <color rgb="FFFFEB84"/>
        <color rgb="FF63BE7B"/>
      </colorScale>
    </cfRule>
  </conditionalFormatting>
  <conditionalFormatting sqref="K69:K70">
    <cfRule type="colorScale" priority="19">
      <colorScale>
        <cfvo type="min"/>
        <cfvo type="percentile" val="50"/>
        <cfvo type="max"/>
        <color rgb="FFF8696B"/>
        <color rgb="FFFFEB84"/>
        <color rgb="FF63BE7B"/>
      </colorScale>
    </cfRule>
  </conditionalFormatting>
  <conditionalFormatting sqref="K71:K72">
    <cfRule type="colorScale" priority="18">
      <colorScale>
        <cfvo type="min"/>
        <cfvo type="percentile" val="50"/>
        <cfvo type="max"/>
        <color rgb="FFF8696B"/>
        <color rgb="FFFFEB84"/>
        <color rgb="FF63BE7B"/>
      </colorScale>
    </cfRule>
  </conditionalFormatting>
  <conditionalFormatting sqref="K74:K79">
    <cfRule type="colorScale" priority="17">
      <colorScale>
        <cfvo type="min"/>
        <cfvo type="percentile" val="50"/>
        <cfvo type="max"/>
        <color rgb="FFF8696B"/>
        <color rgb="FFFFEB84"/>
        <color rgb="FF63BE7B"/>
      </colorScale>
    </cfRule>
  </conditionalFormatting>
  <conditionalFormatting sqref="K83">
    <cfRule type="colorScale" priority="15">
      <colorScale>
        <cfvo type="min"/>
        <cfvo type="percentile" val="50"/>
        <cfvo type="max"/>
        <color rgb="FFF8696B"/>
        <color rgb="FFFFEB84"/>
        <color rgb="FF63BE7B"/>
      </colorScale>
    </cfRule>
  </conditionalFormatting>
  <conditionalFormatting sqref="K84:K92">
    <cfRule type="colorScale" priority="16">
      <colorScale>
        <cfvo type="min"/>
        <cfvo type="percentile" val="50"/>
        <cfvo type="max"/>
        <color rgb="FFF8696B"/>
        <color rgb="FFFFEB84"/>
        <color rgb="FF63BE7B"/>
      </colorScale>
    </cfRule>
  </conditionalFormatting>
  <conditionalFormatting sqref="K94:K104">
    <cfRule type="colorScale" priority="14">
      <colorScale>
        <cfvo type="min"/>
        <cfvo type="percentile" val="50"/>
        <cfvo type="max"/>
        <color rgb="FFF8696B"/>
        <color rgb="FFFFEB84"/>
        <color rgb="FF63BE7B"/>
      </colorScale>
    </cfRule>
  </conditionalFormatting>
  <conditionalFormatting sqref="K107:K111">
    <cfRule type="colorScale" priority="13">
      <colorScale>
        <cfvo type="min"/>
        <cfvo type="percentile" val="50"/>
        <cfvo type="max"/>
        <color rgb="FFF8696B"/>
        <color rgb="FFFFEB84"/>
        <color rgb="FF63BE7B"/>
      </colorScale>
    </cfRule>
  </conditionalFormatting>
  <conditionalFormatting sqref="K117:K125">
    <cfRule type="colorScale" priority="12">
      <colorScale>
        <cfvo type="min"/>
        <cfvo type="percentile" val="50"/>
        <cfvo type="max"/>
        <color rgb="FFF8696B"/>
        <color rgb="FFFFEB84"/>
        <color rgb="FF63BE7B"/>
      </colorScale>
    </cfRule>
  </conditionalFormatting>
  <conditionalFormatting sqref="K126:K127 K112:K116 K105:K106 K80:K82 K93 K64:K65 K73 K68 K48:K49 K61 K42">
    <cfRule type="colorScale" priority="10">
      <colorScale>
        <cfvo type="min"/>
        <cfvo type="percentile" val="50"/>
        <cfvo type="max"/>
        <color rgb="FFF8696B"/>
        <color rgb="FFFFEB84"/>
        <color rgb="FF63BE7B"/>
      </colorScale>
    </cfRule>
  </conditionalFormatting>
  <conditionalFormatting sqref="K128:K150">
    <cfRule type="colorScale" priority="11">
      <colorScale>
        <cfvo type="min"/>
        <cfvo type="percentile" val="50"/>
        <cfvo type="max"/>
        <color rgb="FFF8696B"/>
        <color rgb="FFFFEB84"/>
        <color rgb="FF63BE7B"/>
      </colorScale>
    </cfRule>
  </conditionalFormatting>
  <conditionalFormatting sqref="K151:K244">
    <cfRule type="colorScale" priority="27">
      <colorScale>
        <cfvo type="min"/>
        <cfvo type="percentile" val="50"/>
        <cfvo type="max"/>
        <color rgb="FFF8696B"/>
        <color rgb="FFFFEB84"/>
        <color rgb="FF63BE7B"/>
      </colorScale>
    </cfRule>
  </conditionalFormatting>
  <conditionalFormatting sqref="K245:K246">
    <cfRule type="colorScale" priority="8">
      <colorScale>
        <cfvo type="min"/>
        <cfvo type="percentile" val="50"/>
        <cfvo type="max"/>
        <color rgb="FFF8696B"/>
        <color rgb="FFFFEB84"/>
        <color rgb="FF63BE7B"/>
      </colorScale>
    </cfRule>
  </conditionalFormatting>
  <conditionalFormatting sqref="K247:K320">
    <cfRule type="colorScale" priority="28">
      <colorScale>
        <cfvo type="min"/>
        <cfvo type="percentile" val="50"/>
        <cfvo type="max"/>
        <color rgb="FFF8696B"/>
        <color rgb="FFFFEB84"/>
        <color rgb="FF63BE7B"/>
      </colorScale>
    </cfRule>
  </conditionalFormatting>
  <dataValidations count="4">
    <dataValidation type="list" allowBlank="1" showInputMessage="1" showErrorMessage="1" sqref="L207:L229 L260:L266 L4:L41 L43:L54 L56:L57 L59:L77 L233:L258 L132:L148 L193:L205 L79:L81 L83:L130 L151:L170 L172:L177 L179:L181 L183:L191 L268:L275 L278:L284 L286:L307 L309:L320" xr:uid="{55A85EB8-D7DD-43BE-BECE-03EE5BA83308}">
      <formula1>"Policies &amp; Procedures, Strategic, Org. structure JD &amp; KPI's, Operation, ERP system, Authority Matrix,Cybersecurity"</formula1>
    </dataValidation>
    <dataValidation type="list" allowBlank="1" showInputMessage="1" showErrorMessage="1" sqref="K19:K21 K26 K73 K32 K42 K48:K49 K61 K64:K65 K68 K28:K29 K80:K82 K93 K105:K106 K112:K116 K126:K127 K39 K151:K184 K4:K17 K190:K199" xr:uid="{5D755F80-E5AD-4CD8-A0EA-22952AC8A510}">
      <formula1>"Critical, High, Medium, Low"</formula1>
    </dataValidation>
    <dataValidation type="list" allowBlank="1" showInputMessage="1" showErrorMessage="1" sqref="K22:K25 K27 K30:K31 K18 K43:K47 K50:K60 K62:K63 K66:K67 K69:K72 K74:K79 K33:K38 K40:K41" xr:uid="{3CF31425-5EC9-4ED4-8134-830C2F98EBE5}">
      <formula1>"Critical, High, Miduim, Low"</formula1>
    </dataValidation>
    <dataValidation type="list" allowBlank="1" showInputMessage="1" showErrorMessage="1" sqref="L42 L55 L58 L78 L82 L131 L149:L150 L171 L178 L182 L192 L206 L230:L232 L259 L267 L276:L277 L285 L308" xr:uid="{909B3BB8-8B3D-4D83-8B92-1A21DB54F1E5}">
      <formula1>"Policies &amp; Procedures, IT Systems &amp; Applications, Strategic, Org. structure JD &amp; KPI's, Operation, ERP system, Authority Matrix,CyberSecurity"</formula1>
    </dataValidation>
  </dataValidations>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AAGH-Audit Observations310326</vt:lpstr>
      <vt:lpstr>Sheet1</vt:lpstr>
      <vt:lpstr>BTC-Audit Observations 30062026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N. Arbad</dc:creator>
  <cp:keywords/>
  <dc:description/>
  <cp:lastModifiedBy>Ismail Shaikh</cp:lastModifiedBy>
  <cp:revision/>
  <dcterms:created xsi:type="dcterms:W3CDTF">2026-04-28T08:43:05Z</dcterms:created>
  <dcterms:modified xsi:type="dcterms:W3CDTF">2026-08-26T10:04:24Z</dcterms:modified>
  <cp:category/>
  <cp:contentStatus/>
</cp:coreProperties>
</file>